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hange_Log" sheetId="2" state="visible" r:id="rId4"/>
    <sheet name="Findings" sheetId="3" state="visible" r:id="rId5"/>
    <sheet name="File_Registry" sheetId="4" state="visible" r:id="rId6"/>
    <sheet name="Experiments" sheetId="5" state="visible" r:id="rId7"/>
    <sheet name="Summary" sheetId="6" state="visible" r:id="rId8"/>
  </sheets>
  <definedNames>
    <definedName function="false" hidden="true" localSheetId="1" name="_xlnm._FilterDatabase" vbProcedure="false">Change_Log!$A$1:$X$1</definedName>
    <definedName function="false" hidden="true" localSheetId="4" name="_xlnm._FilterDatabase" vbProcedure="false">Experiments!$A$1:$AB$1</definedName>
    <definedName function="false" hidden="true" localSheetId="3" name="_xlnm._FilterDatabase" vbProcedure="false">File_Registry!$A$1:$G$1</definedName>
    <definedName function="false" hidden="true" localSheetId="2" name="_xlnm._FilterDatabase" vbProcedure="false">Findings!$A$1:$L$1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<sst xmlns="http://schemas.openxmlformats.org/spreadsheetml/2006/main" count="775" uniqueCount="375">
  <si>
    <t xml:space="preserve">change_log.xlsx - Nhật ký thay đổi dự án ML</t>
  </si>
  <si>
    <t xml:space="preserve">Quy ước</t>
  </si>
  <si>
    <t xml:space="preserve">Chỉ THÊM dòng (append-only). Không sửa/xóa dòng cũ; muốn đính chính thì thêm dòng mới và điền Liên_quan_Log_ID.</t>
  </si>
  <si>
    <t xml:space="preserve">Loại_hành_động</t>
  </si>
  <si>
    <t xml:space="preserve">EXPLORE đọc/khám phá | DISCOVER phát hiện mới | CREATE tạo file | MODIFY sửa | FIX sửa lỗi | DELETE xóa | RUN chạy code/lệnh | VERIFY kiểm chứng | DECISION quyết định (thường do người dùng) | NOTE ghi chú</t>
  </si>
  <si>
    <t xml:space="preserve">Người_thực_hiện</t>
  </si>
  <si>
    <t xml:space="preserve">Ai thực hiện hành động: 'Claude' hoặc tên người dùng/người khác.</t>
  </si>
  <si>
    <t xml:space="preserve">Yêu_cầu_bởi</t>
  </si>
  <si>
    <t xml:space="preserve">Ai yêu cầu/quyết định hành động (vd tên người dùng).</t>
  </si>
  <si>
    <t xml:space="preserve">Mức_độ</t>
  </si>
  <si>
    <t xml:space="preserve">Info &lt; Low &lt; Medium &lt; High &lt; Critical.</t>
  </si>
  <si>
    <t xml:space="preserve">Trạng_thái</t>
  </si>
  <si>
    <t xml:space="preserve">Done | Open | Needs-confirmation | Reverted | Wontfix.</t>
  </si>
  <si>
    <t xml:space="preserve">Trước/Sau</t>
  </si>
  <si>
    <t xml:space="preserve">Giá trị, dòng code hoặc hash trước và sau khi thay đổi.</t>
  </si>
  <si>
    <t xml:space="preserve">Múi_giờ</t>
  </si>
  <si>
    <t xml:space="preserve">Mặc định Asia/Ho_Chi_Minh (đổi bằng biến môi trường LOG_TZ).</t>
  </si>
  <si>
    <t xml:space="preserve">Experiments</t>
  </si>
  <si>
    <t xml:space="preserve">Mỗi thí nghiệm DL một dòng: Exp_ID, config + hash, seed, metric train/val, checkpoint. Test_metric chỉ điền cho mô hình cuối (test set dùng đúng một lần).</t>
  </si>
  <si>
    <t xml:space="preserve">Summary</t>
  </si>
  <si>
    <t xml:space="preserve">Thống kê bằng công thức; chạy recalc.py sau khi ghi xong để có giá trị cache.</t>
  </si>
  <si>
    <t xml:space="preserve">Log_ID</t>
  </si>
  <si>
    <t xml:space="preserve">Ngày (dd/mm/yyyy)</t>
  </si>
  <si>
    <t xml:space="preserve">Giờ (hh:mm:ss)</t>
  </si>
  <si>
    <t xml:space="preserve">Session_ID</t>
  </si>
  <si>
    <t xml:space="preserve">Loại_actor</t>
  </si>
  <si>
    <t xml:space="preserve">Bước_pipeline</t>
  </si>
  <si>
    <t xml:space="preserve">Tên_file</t>
  </si>
  <si>
    <t xml:space="preserve">Đường_dẫn</t>
  </si>
  <si>
    <t xml:space="preserve">Vị_trí (dòng/cell/hàm)</t>
  </si>
  <si>
    <t xml:space="preserve">Nội_dung</t>
  </si>
  <si>
    <t xml:space="preserve">Lý_do</t>
  </si>
  <si>
    <t xml:space="preserve">Trước</t>
  </si>
  <si>
    <t xml:space="preserve">Sau</t>
  </si>
  <si>
    <t xml:space="preserve">Cách_kiểm_chứng</t>
  </si>
  <si>
    <t xml:space="preserve">Liên_quan_Log_ID</t>
  </si>
  <si>
    <t xml:space="preserve">Đường_dẫn_backup</t>
  </si>
  <si>
    <t xml:space="preserve">Lệnh_Công_cụ</t>
  </si>
  <si>
    <t xml:space="preserve">Ghi_chú</t>
  </si>
  <si>
    <t xml:space="preserve">LOG-0001</t>
  </si>
  <si>
    <t xml:space="preserve">Asia/Ho_Chi_Minh</t>
  </si>
  <si>
    <t xml:space="preserve">S-20260922</t>
  </si>
  <si>
    <t xml:space="preserve">Claude</t>
  </si>
  <si>
    <t xml:space="preserve">AI</t>
  </si>
  <si>
    <t xml:space="preserve">Kazana</t>
  </si>
  <si>
    <t xml:space="preserve">CREATE</t>
  </si>
  <si>
    <t xml:space="preserve">P0 Khởi tạo</t>
  </si>
  <si>
    <t xml:space="preserve">house_price_ml</t>
  </si>
  <si>
    <t xml:space="preserve">.</t>
  </si>
  <si>
    <t xml:space="preserve">Tạo khung dự án 'house_price_ml' (11 thư mục) + 04_configs/base.yaml, README.md, .gitignore, requirements.txt</t>
  </si>
  <si>
    <t xml:space="preserve">Khung thư mục chuẩn của skill dl-project-from-raw-data</t>
  </si>
  <si>
    <t xml:space="preserve">Info</t>
  </si>
  <si>
    <t xml:space="preserve">Done</t>
  </si>
  <si>
    <t xml:space="preserve">scripts/scaffold_project.py</t>
  </si>
  <si>
    <t xml:space="preserve">LOG-0002</t>
  </si>
  <si>
    <t xml:space="preserve">P1 Nhập dữ liệu</t>
  </si>
  <si>
    <t xml:space="preserve">train.csv</t>
  </si>
  <si>
    <t xml:space="preserve">00_raw</t>
  </si>
  <si>
    <t xml:space="preserve">Nhập dataset thô vào 00_raw (sao chép 1 file); đặt 1 file ở chế độ chỉ-đọc</t>
  </si>
  <si>
    <t xml:space="preserve">Dữ liệu gốc bất biến; mọi xử lý ghi sang 01_data/</t>
  </si>
  <si>
    <t xml:space="preserve">LOG-0003</t>
  </si>
  <si>
    <t xml:space="preserve">DECISION</t>
  </si>
  <si>
    <t xml:space="preserve">Mục tiêu: dự đoán SalePrice (hồi quy) từ dữ liệu bảng Ames Housing. Mục đích: đồ án học tập. Mô hình: pipeline ML (scikit-learn/XGBoost), KHÔNG dùng Deep Learning theo yêu cầu người dùng.</t>
  </si>
  <si>
    <t xml:space="preserve">Người dùng xác nhận qua câu hỏi P0</t>
  </si>
  <si>
    <t xml:space="preserve">LOG-0004</t>
  </si>
  <si>
    <t xml:space="preserve">Metric chính: RMSLE (RMSE trên log1p(SalePrice)), chuẩn Kaggle House Prices. Metric phụ: MAE ($), R².</t>
  </si>
  <si>
    <t xml:space="preserve">Người dùng chọn RMSLE/log-RMSE</t>
  </si>
  <si>
    <t xml:space="preserve">LOG-0005</t>
  </si>
  <si>
    <t xml:space="preserve">Ràng buộc môi trường: CPU i5-12400F, GPU RTX5060 có sẵn. Vì đây là mô hình ML trên dữ liệu bảng (không DL) nên không cần GPU; dự báo chạy dưới 5 phút trên CPU.</t>
  </si>
  <si>
    <t xml:space="preserve">Người dùng cung cấp thông số máy</t>
  </si>
  <si>
    <t xml:space="preserve">LOG-0006</t>
  </si>
  <si>
    <t xml:space="preserve">P0 Môi trường</t>
  </si>
  <si>
    <t xml:space="preserve">requirements.txt</t>
  </si>
  <si>
    <t xml:space="preserve">Pin dependencies cho pipeline ML (không DL): pandas, numpy, scikit-learn, xgboost, matplotlib, joblib, PyYAML, openpyxl</t>
  </si>
  <si>
    <t xml:space="preserve">pip install -r requirements.txt trong venv mới -&gt; thành công; import sklearn(1.8.0), xgboost(3.4.1) OK</t>
  </si>
  <si>
    <t xml:space="preserve">LOG-0007</t>
  </si>
  <si>
    <t xml:space="preserve">setup_env.sh</t>
  </si>
  <si>
    <t xml:space="preserve">Script tạo venv + cài dependencies (Linux/macOS)</t>
  </si>
  <si>
    <t xml:space="preserve">Chạy thử trong sandbox: venv tạo thành công, cài package OK, import test pass</t>
  </si>
  <si>
    <t xml:space="preserve">LOG-0008</t>
  </si>
  <si>
    <t xml:space="preserve">setup_env.bat</t>
  </si>
  <si>
    <t xml:space="preserve">Script tạo venv + cài dependencies (Windows) - chưa chạy thử vì sandbox là Linux</t>
  </si>
  <si>
    <t xml:space="preserve">LOG-0009</t>
  </si>
  <si>
    <t xml:space="preserve">Huỳnh Kiện Khải</t>
  </si>
  <si>
    <t xml:space="preserve">P0 Cập nhật thông tin</t>
  </si>
  <si>
    <t xml:space="preserve">Người dùng cung cấp tên thật: Huỳnh Kiện Khải (tên tài khoản trước đó ghi là Kazana). Từ đây về sau dùng tên thật trong các dòng log mới.</t>
  </si>
  <si>
    <t xml:space="preserve">Người dùng yêu cầu trước khi vào P1</t>
  </si>
  <si>
    <t xml:space="preserve">LOG-0010</t>
  </si>
  <si>
    <t xml:space="preserve">FIX</t>
  </si>
  <si>
    <t xml:space="preserve">README.md: bổ sung tên người thực hiện dự án là Huỳnh Kiện Khải</t>
  </si>
  <si>
    <t xml:space="preserve">LOG-0011</t>
  </si>
  <si>
    <t xml:space="preserve">S-20260923</t>
  </si>
  <si>
    <t xml:space="preserve">RUN</t>
  </si>
  <si>
    <t xml:space="preserve">P1 Kiểm toán dữ liệu</t>
  </si>
  <si>
    <t xml:space="preserve">Chạy audit_dataset.py trên 00_raw/train.csv (--label-col SalePrice)</t>
  </si>
  <si>
    <t xml:space="preserve">1 file, 0 lỗi hỏng, 0 dòng trùng, 0 nhóm trùng nội dung. 19 cột có missing (PoolQC 1453/1460, MiscFeature 1406, Alley 1369, Fence 1179, FireplaceQu 690...). SalePrice là hồi quy liên tục nên phân bố nhãn trong report chỉ mang tính tham khảo.</t>
  </si>
  <si>
    <t xml:space="preserve">LOG-0012</t>
  </si>
  <si>
    <t xml:space="preserve">audit_dataset.py</t>
  </si>
  <si>
    <t xml:space="preserve">03_src/scripts/audit_dataset.py</t>
  </si>
  <si>
    <t xml:space="preserve">Copy script audit_dataset.py (từ skill) vào dự án để người dùng tự chạy lại được, không phụ thuộc môi trường sandbox</t>
  </si>
  <si>
    <t xml:space="preserve">LOG-0013</t>
  </si>
  <si>
    <t xml:space="preserve">P1 Chỉnh định dạng log</t>
  </si>
  <si>
    <t xml:space="preserve">Áp dụng font Times New Roman cho toàn bộ file change_log.xlsx (mọi sheet: README, Change_Log, Findings, File_Registry, Experiments, Summary). Không thay đổi nội dung các dòng cũ.</t>
  </si>
  <si>
    <t xml:space="preserve">Người dùng yêu cầu dùng font Times New Roman và ghi tiếng Việt đầy đủ có dấu</t>
  </si>
  <si>
    <t xml:space="preserve">Các dòng log trước đó (LOG-0001 đến LOG-0012, FND-0001) được ghi không dấu theo quy ước ví dụ của skill; log là append-only nên không sửa nội dung các dòng cũ đó. Từ dòng này trở đi, mọi mô tả mới sẽ dùng tiếng Việt có dấu đầy đủ.</t>
  </si>
  <si>
    <t xml:space="preserve">LOG-0014</t>
  </si>
  <si>
    <t xml:space="preserve">Ngoại lệ: đã chỉnh sửa trực tiếp nội dung các dòng LOG-0003..LOG-0012 và FND-0001 để thêm dấu tiếng Việt đầy đủ (không đổi ý nghĩa/số liệu, chỉ thêm dấu).</t>
  </si>
  <si>
    <t xml:space="preserve">Người dùng yêu cầu tường minh: 'chỉ riêng lần này' được sửa lại log vì tiếng Việt không dấu gây khó hiểu, dù quy tắc mặc định của skill là append-only (không sửa dòng cũ).</t>
  </si>
  <si>
    <t xml:space="preserve">LOG-0003,LOG-0004,LOG-0005,LOG-0006,LOG-0007,LOG-0008,LOG-0009,LOG-0010,LOG-0011,LOG-0012,FND-0001</t>
  </si>
  <si>
    <t xml:space="preserve">LOG-0015</t>
  </si>
  <si>
    <t xml:space="preserve">Sửa skill dl-project-from-raw-data: SKILL.md và references/log_schema.md bổ sung quy ước bắt buộc ghi log bằng tiếng Việt có dấu đầy đủ; scripts/log_change.py sửa các dòng README_ROWS (Loại_hành_động, Người_thực_hiện, Yêu_cầu_bởi, Múi_giờ) từ không dấu sang có dấu. Đồng thời cập nhật sheet README của change_log.xlsx trong dự án này cho khớp.</t>
  </si>
  <si>
    <t xml:space="preserve">Người dùng yêu cầu sửa skill để log luôn ghi tiếng Việt có dấu, áp dụng cho các dự án sau này</t>
  </si>
  <si>
    <t xml:space="preserve">LOG-0016</t>
  </si>
  <si>
    <t xml:space="preserve">S-20260924</t>
  </si>
  <si>
    <t xml:space="preserve">P2 Chia train/val/test</t>
  </si>
  <si>
    <t xml:space="preserve">Chạy make_splits.py trên 00_raw/train.csv (--id-col Id --label-col SalePrice --val 0.15 --test 0.15 --seed 42 --version v1)</t>
  </si>
  <si>
    <t xml:space="preserve">SalePrice là biến liên tục với gần như mọi giá trị là duy nhất nên stratify theo đúng giá trị thất bại (script tự động cảnh báo và chuyển sang chia ngẫu nhiên). Kết quả: train=1022, val=219, test=219 (~70/15/15). Kiểm chứng tự động: PASSED (không Id nào nằm ở &gt;1 split, không nhóm/sha256 xuyên split).</t>
  </si>
  <si>
    <t xml:space="preserve">LOG-0017</t>
  </si>
  <si>
    <t xml:space="preserve">make_splits.py</t>
  </si>
  <si>
    <t xml:space="preserve">03_src/scripts/make_splits.py</t>
  </si>
  <si>
    <t xml:space="preserve">Copy script make_splits.py (từ skill) vào dự án để chạy lại được độc lập</t>
  </si>
  <si>
    <t xml:space="preserve">LOG-0018</t>
  </si>
  <si>
    <t xml:space="preserve">P2 Định nghĩa bài toán</t>
  </si>
  <si>
    <t xml:space="preserve">problem_definition.md</t>
  </si>
  <si>
    <t xml:space="preserve">06_reports/problem_definition.md</t>
  </si>
  <si>
    <t xml:space="preserve">Viết problem_definition.md theo template report_templates.md: chốt loại bài toán (hồi quy), input/output, metric chính (RMSLE) + phụ (MAE, R²), tiêu chí thành công, ràng buộc phần cứng, rủi ro và giả định. Tổng hợp lại từ các DECISION đã ghi ở P0 (LOG-0003, LOG-0004, LOG-0005) và các FINDING ở P1 (FND-0001) và P3 (FND-0002).</t>
  </si>
  <si>
    <t xml:space="preserve">Theo đúng thứ tự P0-P9 của skill: P2 phải chốt bằng văn bản trước khi có bất kỳ số liệu mô hình nào</t>
  </si>
  <si>
    <t xml:space="preserve">LOG-0019</t>
  </si>
  <si>
    <t xml:space="preserve">NOTE</t>
  </si>
  <si>
    <t xml:space="preserve">Đính chính đánh số bước: dòng LOG-0016/LOG-0017 (chạy make_splits.py, copy script) được ghi với step-label 'P2 Chia train/val/test' do đánh số nhầm; đúng theo quy trình skill thì bước chia dữ liệu là P3, không phải P2. Không sửa lại các dòng cũ đó (append-only), chỉ đính chính tại đây.</t>
  </si>
  <si>
    <t xml:space="preserve">LOG-0020</t>
  </si>
  <si>
    <t xml:space="preserve">P2.5 Khám phá dữ liệu (EDA, chỉ trên train)</t>
  </si>
  <si>
    <t xml:space="preserve">Chạy EDA chỉ trên split=='train' của 01_data/splits/split_v1.csv (1022 dòng), tuân thủ nguyên tắc 'EDA chỉ trên train' của skill. Xem: phân phối SalePrice, missing (đối chiếu số liệu với audit toàn bộ), tương quan numeric, quét ngoại lai IQR, mức hạng mục hiếm.</t>
  </si>
  <si>
    <t xml:space="preserve">SalePrice train: skew=1.73 (log1p skew=0.15, xác nhận log-transform hợp lý). Missing top: PoolQC 99.4%, MiscFeature 96.0%, Alley 93.4%, Fence 80.2%, MasVnrType 59.2%, FireplaceQu 47.1% - khớp tỉ lệ với audit toàn bộ (P1), xác nhận split không lệch phân bố missing. Top tương quan: OverallQual 0.79, GrLivArea 0.69, GarageCars 0.64. 31 cột categorical có ít nhất 1 mức hiếm (&lt;10 mẫu).</t>
  </si>
  <si>
    <t xml:space="preserve">LOG-0021</t>
  </si>
  <si>
    <t xml:space="preserve">Loại 2 dòng Id=524 và Id=1299 khỏi tập train khi fit mô hình ở P4/P5 (ngoại lai đã biết của dataset, xem FND-0003). Cách điền missing cho nhóm cột 'missing có ý nghĩa' (PoolQC, MiscFeature, Alley, Fence, MasVnrType, FireplaceQu, Garage*, Bsmt*): dùng hằng số 'None' (categorical) hoặc 0 (numeric liên quan), tính từ quyết định FND-0001 - nay xác nhận lại bằng số liệu train thực tế (tỉ lệ khớp audit toàn bộ).</t>
  </si>
  <si>
    <t xml:space="preserve">Kết luận rút ra từ EDA trên train, theo nguyên tắc chỉ quyết định dựa vào train</t>
  </si>
  <si>
    <t xml:space="preserve">FND-0003,FND-0001</t>
  </si>
  <si>
    <t xml:space="preserve">LOG-0022</t>
  </si>
  <si>
    <t xml:space="preserve">eda_train_summary.md</t>
  </si>
  <si>
    <t xml:space="preserve">06_reports/eda_train_summary.md</t>
  </si>
  <si>
    <t xml:space="preserve">Tóm tắt EDA trên train + các quyết định rút ra, kèm tham chiếu log</t>
  </si>
  <si>
    <t xml:space="preserve">LOG-0023</t>
  </si>
  <si>
    <t xml:space="preserve">eda_train.py</t>
  </si>
  <si>
    <t xml:space="preserve">03_src/scripts/eda_train.py</t>
  </si>
  <si>
    <t xml:space="preserve">Script EDA (chỉ đọc split=='train'), có thể chạy lại độc lập</t>
  </si>
  <si>
    <t xml:space="preserve">LOG-0024</t>
  </si>
  <si>
    <t xml:space="preserve">VERIFY</t>
  </si>
  <si>
    <t xml:space="preserve">P1 Kiểm toán dữ liệu (bổ sung)</t>
  </si>
  <si>
    <t xml:space="preserve">Xem tận mắt 20 dòng ngẫu nhiên trong train (seed=7) theo yêu cầu cổng G1, kiểm tra quan hệ giữa OverallQual/GrLivArea/YearBuilt/GarageCars/SaleCondition với SalePrice.</t>
  </si>
  <si>
    <t xml:space="preserve">Không phát hiện nhãn bất thường/vô lý: giá tăng hợp lý theo chất lượng, diện tích, năm xây; các dòng SaleCondition='Partial'/'Family' vẫn có giá hợp lý (ngoại trừ 2 điểm đã ghi ở FND-0003, không nằm trong mẫu 20 dòng này). Gate G1 coi như đã đóng đầy đủ (đã có: manifest, missing, trùng lặp ở P1 + xem mẫu bằng mắt ở đây).</t>
  </si>
  <si>
    <t xml:space="preserve">LOG-0025</t>
  </si>
  <si>
    <t xml:space="preserve">Cập nhật skill</t>
  </si>
  <si>
    <t xml:space="preserve">Người dùng cung cấp bản skill dl-project-from-raw-data mới (file .skill upload). Đã thay thế toàn bộ /mnt/skills/plugins/dl-project-from-raw-data bằng bản mới. Thay đổi cốt lõi: quy trình mở rộng từ P0-P9 thành P0-P11, thêm bước P4 'Khám phá dữ liệu (EDA, chỉ trên train)' chính thức (trước đây mình tự đặt tạm là 'P2.5'), và đảo thứ tự: P5 Tiền xử lý giờ đứng TRƯỚC P6 Baseline (trước đây baseline P4 đứng trước tiền xử lý P5). Số hiệu cổng G3(Baseline)/G4(pipeline) giữ nguyên tên nhưng gắn với P6/P7 mới. Đã re-áp dụng lại 2 chỉnh sửa riêng của dự án này (quy ước ghi log tiếng Việt có dấu ở SKILL.md muc 7, log_schema.md, và scripts/log_change.py README_ROWS) vì bản mới người dùng cung cấp không có 2 chỉnh sửa này.</t>
  </si>
  <si>
    <t xml:space="preserve">Người dùng yêu cầu cập nhật và ghi nhớ skill mới</t>
  </si>
  <si>
    <t xml:space="preserve">LOG-0026</t>
  </si>
  <si>
    <t xml:space="preserve">Đối chiếu lại tiến độ dự án theo số P mới: P0 Khởi tạo=Done, P1 Kiểm toán=Done, P2 Định nghĩa bài toán=Done, P3 Chia dữ liệu=Done, P4 Khám phá dữ liệu (train)=Done (thực hiện ở các dòng LOG-0020,LOG-0021,FND-0003, lúc đó gắn nhầm nhãn 'P2.5'). Bước tiếp theo chính xác theo skill mới là P5 (Tiền xử lý: dùng scripts/preprocess_tabular.py fit/check), SAU ĐÓ mới tới P6 (Baseline) - đảo lại thứ tự so với thông báo trước đó của mình (đã nói nhầm là 'P4 Baseline' sẽ làm tiếp, nay đính chính lại).</t>
  </si>
  <si>
    <t xml:space="preserve">Đính chính theo cấu trúc mới của skill, không sửa các dòng log cũ</t>
  </si>
  <si>
    <t xml:space="preserve">LOG-0027</t>
  </si>
  <si>
    <t xml:space="preserve">S-20260925</t>
  </si>
  <si>
    <t xml:space="preserve">Cập nhật skill (lần 2)</t>
  </si>
  <si>
    <t xml:space="preserve">Người dùng upload lại file skill (cùng tên nhưng nội dung mới hơn bản đã cập nhật trước đó ở LOG-0025/0026). Điểm mới quan trọng: (1) Thêm script scripts/explore_tabular.py chuyên dụng cho P4 - tự tính thang đo, thống kê mô tả, ngoại lai IQR, giá trị ngoài miền hợp lệ, độ lệch phân phối, tương quan, độ liên quan với nhãn (Pearson/ANOVA), tự vẽ biểu đồ vào eda_plots/. (2) scripts/preprocess_tabular.py mở rộng thêm tùy chọn: --valid-range, --drop-missing-thresh, --select-anova-thresh/--select-corr-thresh (chọn đặc trưng), --bin (rời rạc hóa), --pca (giảm chiều). Đã thay thế toàn bộ thư mục skill và re-áp lại 2 chỉnh sửa riêng của dự án (quy ước log tiếng Việt có dấu ở SKILL.md, log_schema.md, log_change.py README_ROWS).</t>
  </si>
  <si>
    <t xml:space="preserve">Người dùng yêu cầu cập nhật bộ nhớ bằng file skill mới</t>
  </si>
  <si>
    <t xml:space="preserve">LOG-0028</t>
  </si>
  <si>
    <t xml:space="preserve">P4 (khám phá dữ liệu) của dự án này đã hoàn thành thủ công trước khi có script explore_tabular.py, kết quả và các DECISION (LOG-0020, LOG-0021, FND-0003) vẫn giữ nguyên giá trị, không cần chạy lại. Ở bước P5 (Tiền xử lý) sắp tới, sẽ tận dụng preprocess_tabular.py bản mới, đặc biệt --valid-range cho các cột có miền giá trị rõ ràng (vd YearBuilt, GarageYrBlt không được lớn hơn năm hiện tại) nếu phù hợp.</t>
  </si>
  <si>
    <t xml:space="preserve">LOG-0029</t>
  </si>
  <si>
    <t xml:space="preserve">P4 Khám phá dữ liệu (EDA)</t>
  </si>
  <si>
    <t xml:space="preserve">split_v1_selected_features.csv</t>
  </si>
  <si>
    <t xml:space="preserve">01_data/splits/split_v1_selected_features.csv</t>
  </si>
  <si>
    <t xml:space="preserve">Tạo bảng con chỉ gồm 67 đặc trưng người dùng chọn lọc theo 9 nhóm ý nghĩa nghiệp vụ (khu đất, vị trí, chất lượng nhà, móng/tầng hầm, hệ thống, diện tích, garage, đường vào, giao dịch) + Id, SalePrice, split. Loại 12 cột: Fireplaces, FireplaceQu, WoodDeckSF, OpenPorchSF, EnclosedPorch, 3SsnPorch, ScreenPorch, PoolArea, PoolQC, Fence, MiscFeature, MiscVal.</t>
  </si>
  <si>
    <t xml:space="preserve">LOG-0030</t>
  </si>
  <si>
    <t xml:space="preserve">Chạy scripts/explore_tabular.py trên split_v1_selected_features.csv (chỉ train, 1022 dòng, 67 đặc trưng), --label-col SalePrice --label-type numeric --ordinal-cols (17 cột chất lượng/thứ bậc), --valid-range cho LotFrontage/MasVnrArea/GarageYrBlt.</t>
  </si>
  <si>
    <t xml:space="preserve">28 cột số, 39 cột hạng mục. 0 giá trị ngoài miền hợp lệ. Ngoại lai IQR đáng chú ý: OverallCond 8.41%, MSSubClass 7.24%, LotFrontage 6.95%, MasVnrArea 6.7%, BsmtFinSF2 9.98% (nhưng phần lớn do phân phối lệch/rời rạc, không hẳn là lỗi). Top Pearson-vs-label (numeric, chưa log-transform): OverallQual 0.786, GrLivArea 0.689, TotalBsmtSF 0.592, GarageCars 0.642, GarageArea 0.618, 1stFlrSF 0.583. Heatmap xác nhận 3 cụm cộng tuyến: (GrLivArea, FullBath, TotRmsAbvGrd, 2ndFlrSF), (GarageCars, GarageArea), (TotalBsmtSF, BsmtUnfSF, BsmtFinSF1, 1stFlrSF).</t>
  </si>
  <si>
    <t xml:space="preserve">LOG-0031</t>
  </si>
  <si>
    <t xml:space="preserve">Vẽ 9 biểu đồ tổng hợp theo nhóm ý nghĩa nghiệp vụ (N1_KhuDat...N9_GiaoDich), mỗi ô con là scatter(numeric vs SalePrice, có hệ số Pearson) hoặc boxplot(SalePrice theo từng mức categorical, sắp theo median tăng dần). Lưu tại 06_reports/eda/eda_plots/by_group/.</t>
  </si>
  <si>
    <t xml:space="preserve">LOG-0032</t>
  </si>
  <si>
    <t xml:space="preserve">eda_group_plots.py</t>
  </si>
  <si>
    <t xml:space="preserve">03_src/scripts/eda_group_plots.py</t>
  </si>
  <si>
    <t xml:space="preserve">Script tự viết (bổ sung ngoài skill) để vẽ 9 biểu đồ theo nhóm</t>
  </si>
  <si>
    <t xml:space="preserve">LOG-0033</t>
  </si>
  <si>
    <t xml:space="preserve">Theo đề xuất người dùng, chạy explore_tabular.py trên TOÀN BỘ 79 cột gốc (01_data/splits/split_v1.csv, chỉ train) thay vì chỉ 67 cột đã chọn, để đối chiếu ngược và tránh bỏ sót đặc trưng quan trọng.</t>
  </si>
  <si>
    <t xml:space="preserve">Kết quả 67 cột đã chọn khớp 100% với lần chạy trước. Phát hiện quan trọng ở nhóm 12 cột đã loại: Fireplaces (corr=0.46) và FireplaceQu (eta2=0.302) có tín hiệu MẠNH - cao hơn nhiều cột đang được giữ (vd BldgType eta2=0.048, Electrical eta2=0.079). WoodDeckSF (0.328) và OpenPorchSF (0.315) cũng ở mức trung bình-khá, tương đương HalfBath (0.278) đang được giữ. Ngược lại EnclosedPorch (-0.146), 3SsnPorch (0.062), ScreenPorch (0.143), PoolArea (0.127), MiscVal (-0.015), PoolQC (eta2=0.013), Fence (eta2=0.04), MiscFeature (eta2=0.009) đều xác nhận yếu, loại là hợp lý.</t>
  </si>
  <si>
    <t xml:space="preserve">LOG-0034</t>
  </si>
  <si>
    <t xml:space="preserve">Chốt danh sách đặc trưng cuối cùng: 67 cột ban đầu + 4 cột thêm lại (Fireplaces, FireplaceQu vào nhóm 3 - Chất lượng nhà; WoodDeckSF, OpenPorchSF vào nhóm 6 - Diện tích sinh hoạt) = 71 cột. Loại hẳn 8 cột còn lại (EnclosedPorch, 3SsnPorch, ScreenPorch, PoolArea, PoolQC, Fence, MiscFeature, MiscVal) do tín hiệu quá yếu (xem FND-0004).</t>
  </si>
  <si>
    <t xml:space="preserve">Người dùng đồng ý sau khi xem bằng chứng đối chiếu EDA toàn bộ 79 cột</t>
  </si>
  <si>
    <t xml:space="preserve">FND-0004</t>
  </si>
  <si>
    <t xml:space="preserve">LOG-0035</t>
  </si>
  <si>
    <t xml:space="preserve">MODIFY</t>
  </si>
  <si>
    <t xml:space="preserve">Cập nhật bảng đặc trưng đã chọn từ 67 lên 71 cột: thêm Fireplaces, FireplaceQu (nhóm 3), WoodDeckSF, OpenPorchSF (nhóm 6) theo DECISION LOG-0034.</t>
  </si>
  <si>
    <t xml:space="preserve">LOG-0036</t>
  </si>
  <si>
    <t xml:space="preserve">Chạy lại explore_tabular.py và vẽ lại 2 biểu đồ nhóm (N3, N6) trên bảng 71 cột đã cập nhật.</t>
  </si>
  <si>
    <t xml:space="preserve">FireplaceQu cho bậc thang tăng dần rõ theo chất lượng (Po den Ex). WoodDeckSF/OpenPorchSF phân tán nhưng có xu hướng dương rõ. Xác nhận quyết định thêm lại là hợp lý.</t>
  </si>
  <si>
    <t xml:space="preserve">LOG-0037</t>
  </si>
  <si>
    <t xml:space="preserve">explore_tabular.py</t>
  </si>
  <si>
    <t xml:space="preserve">03_src/scripts/explore_tabular.py</t>
  </si>
  <si>
    <t xml:space="preserve">Copy script explore_tabular.py (từ skill) vào dự án để chạy lại được độc lập, dùng cho cả 06_reports/eda và 06_reports/eda_full</t>
  </si>
  <si>
    <t xml:space="preserve">LOG-0038</t>
  </si>
  <si>
    <t xml:space="preserve">select_features.py</t>
  </si>
  <si>
    <t xml:space="preserve">03_src/scripts/select_features.py</t>
  </si>
  <si>
    <t xml:space="preserve">Lưu code lọc 71 đặc trưng đã chọn (trước đó chỉ chạy tay, chưa lưu file) thành script chạy lại được: đọc 01_data/splits/split_v1.csv, xuất 01_data/splits/split_v1_selected_features.csv.</t>
  </si>
  <si>
    <t xml:space="preserve">Chạy lại, so sánh SHA256/MD5 với file hiện có: khớp 100% (6143aaca63ab186570c0c59c30c76f96).</t>
  </si>
  <si>
    <t xml:space="preserve">Finding_ID</t>
  </si>
  <si>
    <t xml:space="preserve">Ngày</t>
  </si>
  <si>
    <t xml:space="preserve">Nhóm</t>
  </si>
  <si>
    <t xml:space="preserve">Vị_trí</t>
  </si>
  <si>
    <t xml:space="preserve">Mô_tả</t>
  </si>
  <si>
    <t xml:space="preserve">Bằng_chứng</t>
  </si>
  <si>
    <t xml:space="preserve">Cách_sửa_đề_xuất</t>
  </si>
  <si>
    <t xml:space="preserve">Log_ID_liên_quan</t>
  </si>
  <si>
    <t xml:space="preserve">FND-0001</t>
  </si>
  <si>
    <t xml:space="preserve">Medium</t>
  </si>
  <si>
    <t xml:space="preserve">Missing data</t>
  </si>
  <si>
    <t xml:space="preserve">00_raw/train.csv</t>
  </si>
  <si>
    <t xml:space="preserve">19 cột có giá trị thiếu. Đã đối chiếu với data_description của dataset Ames Housing: hầu hết là 'missing có ý nghĩa' (nhà không có đặc điểm đó), VD PoolQC/Fence/Alley/MiscFeature/FireplaceQu/Garage*/Bsmt* thiếu vì nhà không có hồ bơi/hàng rào/garage/tầng hầm.</t>
  </si>
  <si>
    <t xml:space="preserve">01_data/audit/data_report.md; PoolQC thiếu 1453/1460 (99.5%), MiscFeature 1406 (96.3%), Alley 1369 (93.8%)</t>
  </si>
  <si>
    <t xml:space="preserve">P3 sẽ impute các cột này bằng giá trị hằng số 'None' (categorical) hoặc 0 (numeric liên quan tới đặc điểm không tồn tại, VD MasVnrArea), KHÔNG dùng median/mode mặc định cho nhóm này.</t>
  </si>
  <si>
    <t xml:space="preserve">Open</t>
  </si>
  <si>
    <t xml:space="preserve">FND-0002</t>
  </si>
  <si>
    <t xml:space="preserve">Low</t>
  </si>
  <si>
    <t xml:space="preserve">Chia dữ liệu</t>
  </si>
  <si>
    <t xml:space="preserve">01_data/splits/split_v1_summary.json</t>
  </si>
  <si>
    <t xml:space="preserve">Trường 'strategy' trong summary.json ghi 'stratified' dù thực tế script đã cảnh báo và chuyển sang chia ngẫu nhiên (fallback) vì SalePrice là hồi quy liên tục, không phải nhãn phân loại. Đây là hạn chế hiển thị của script make_splits.py (thiết kế chính cho bài toán phân loại), không phải lỗi của kết quả chia.</t>
  </si>
  <si>
    <t xml:space="preserve">Log console: 'CANH BAO: stratify that bai ... dung chia ngau nhien'</t>
  </si>
  <si>
    <t xml:space="preserve">Không cần sửa vì với hồi quy, chia ngẫu nhiên (có seed cố định) là hợp lý; chỉ cần ghi chú lại để không hiểu nhầm là đã stratify theo khoảng giá.</t>
  </si>
  <si>
    <t xml:space="preserve">Wontfix</t>
  </si>
  <si>
    <t xml:space="preserve">FND-0003</t>
  </si>
  <si>
    <t xml:space="preserve">High</t>
  </si>
  <si>
    <t xml:space="preserve">Ngoại lai / lỗi dữ liệu</t>
  </si>
  <si>
    <t xml:space="preserve">01_data/splits/split_v1.csv</t>
  </si>
  <si>
    <t xml:space="preserve">Id=524, Id=1299</t>
  </si>
  <si>
    <t xml:space="preserve">2 căn nhà có GrLivArea rất lớn (4676 và 5642 sqft) và OverallQual=10 nhưng SalePrice lại RẤT THẤP (184750 và 160000) - thấp hơn nhiều nhà nhỏ hơn nhiều. Cả 2 đều có SaleCondition='Partial' (nhà bán khi CHƯA hoàn thiện/xây xong). Đây là lỗi/ngoại lai đã được chính tác giả dataset (Dean De Cock) ghi nhận công khai, khuyến nghị loại khỏi tập train. Có 1 điểm thứ 3 (Id=1183, GrLivArea=4476, SalePrice=745000, SaleCondition='Abnorml') là giá cao nhất trong toàn bộ dữ liệu - đây là điểm HỢP LỆ (không phải lỗi), không loại.</t>
  </si>
  <si>
    <t xml:space="preserve">02_notebooks/eda_train.png (scatter GrLivArea vs SalePrice); bảng chi tiết 3 dòng GrLivArea&gt;4000 trong train</t>
  </si>
  <si>
    <t xml:space="preserve">DECISION: loại 2 dòng Id=524 và Id=1299 khỏi TRAIN khi huấn luyện baseline/mô hình (P4/P5). KHÔNG loại khỏi val/test (val/test không có 2 Id này vì đều rơi vào train ở split_v1, nhưng nguyên tắc chung: ngoại lai chỉ loại ở train). Giữ nguyên Id=1183 vì là giá trị hợp lệ, không phải lỗi.</t>
  </si>
  <si>
    <t xml:space="preserve">Chọn đặc trưng</t>
  </si>
  <si>
    <t xml:space="preserve">06_reports/eda_full/eda_report.md</t>
  </si>
  <si>
    <t xml:space="preserve">Trong 12 cột người dùng loại ban đầu (nhóm 'extras'), 3-4 cột thực ra có tín hiệu đáng kể với SalePrice: Fireplaces (corr=0.46), FireplaceQu (eta2=0.302), WoodDeckSF (corr=0.328), OpenPorchSF (corr=0.315). Đây là bằng chứng số liệu (chỉ từ train) nên cân nhắc thêm lại các cột này.</t>
  </si>
  <si>
    <t xml:space="preserve">06_reports/eda_full/eda_report.md, mục 'Độ liên quan với biến mục tiêu'</t>
  </si>
  <si>
    <t xml:space="preserve">Đề xuất: thêm Fireplaces + FireplaceQu (nhóm 3 Chất lượng nhà) và WoodDeckSF + OpenPorchSF (nhóm 6 Diện tích) vào danh sách giữ lại; giữ nguyên loại 8 cột còn lại (EnclosedPorch, 3SsnPorch, ScreenPorch, PoolArea, PoolQC, Fence, MiscFeature, MiscVal). [Đã thực hiện - xem LOG-0034]</t>
  </si>
  <si>
    <t xml:space="preserve">FND-0005</t>
  </si>
  <si>
    <t xml:space="preserve">Đã thêm lại 4 cột này vào danh sách giữ (xem LOG tiếp theo).</t>
  </si>
  <si>
    <t xml:space="preserve">Loại</t>
  </si>
  <si>
    <t xml:space="preserve">Kích_thước_byte</t>
  </si>
  <si>
    <t xml:space="preserve">SHA256</t>
  </si>
  <si>
    <t xml:space="preserve">Vai_trò</t>
  </si>
  <si>
    <t xml:space="preserve">Ngày_đăng_ký</t>
  </si>
  <si>
    <t xml:space="preserve">Log_ID_đăng_ký</t>
  </si>
  <si>
    <t xml:space="preserve">csv</t>
  </si>
  <si>
    <t xml:space="preserve">1e18addf81e5e4d347cc17ee6075bbe4a42b7fa26b9e5b063e8f692a5f929d41</t>
  </si>
  <si>
    <t xml:space="preserve">raw dataset (Ames Housing, Kaggle House Prices)</t>
  </si>
  <si>
    <t xml:space="preserve">txt</t>
  </si>
  <si>
    <t xml:space="preserve">1529842f18f3fc9ddc13f8a29f9fea308b93c99ae341d224cb35f419f9b5ba4c</t>
  </si>
  <si>
    <t xml:space="preserve">pinned deps for ML pipeline</t>
  </si>
  <si>
    <t xml:space="preserve">sh</t>
  </si>
  <si>
    <t xml:space="preserve">0ec14ff51fe75452e37d68a2f7f5d6b9b310104f03c4c73bddc63947f123317d</t>
  </si>
  <si>
    <t xml:space="preserve">venv setup script (Linux/macOS)</t>
  </si>
  <si>
    <t xml:space="preserve">bat</t>
  </si>
  <si>
    <t xml:space="preserve">6a3e68f17fb0c3ee20f0bf5c49390905563b41f881ed652f9db93ac322d5fbf2</t>
  </si>
  <si>
    <t xml:space="preserve">venv setup script (Windows)</t>
  </si>
  <si>
    <t xml:space="preserve">01_data/audit/manifest.csv</t>
  </si>
  <si>
    <t xml:space="preserve">0661f403d0fa6217d8fa3cb3e36863a973ee618dd8ba55c72c1f639c7b859efa</t>
  </si>
  <si>
    <t xml:space="preserve">audit manifest</t>
  </si>
  <si>
    <t xml:space="preserve">01_data/audit/audit.json</t>
  </si>
  <si>
    <t xml:space="preserve">json</t>
  </si>
  <si>
    <t xml:space="preserve">7875412bf87b767417431ff68b3b1c458b7dd8265b0967eeb4e0dc0b2eeb8f1f</t>
  </si>
  <si>
    <t xml:space="preserve">audit metrics (machine-readable) + dataset fingerprint</t>
  </si>
  <si>
    <t xml:space="preserve">01_data/audit/data_report.md</t>
  </si>
  <si>
    <t xml:space="preserve">md</t>
  </si>
  <si>
    <t xml:space="preserve">300a7b77f9a00aaeabe1c47b6a77c50f58c9f41bd879a1c9171af8b99d5d174e</t>
  </si>
  <si>
    <t xml:space="preserve">audit report (Vietnamese)</t>
  </si>
  <si>
    <t xml:space="preserve">py</t>
  </si>
  <si>
    <t xml:space="preserve">651e87e1e34d9b889dcf31bbb469577af64f919349a92be19a763f8db2889268</t>
  </si>
  <si>
    <t xml:space="preserve">script kiem toan du lieu (P1)</t>
  </si>
  <si>
    <t xml:space="preserve">a7efd8bd0070df62801eafc5d8e213858f8ca7d8851dafd4d7115d480b886448</t>
  </si>
  <si>
    <t xml:space="preserve">bảng đã gán cột split (train/val/test)</t>
  </si>
  <si>
    <t xml:space="preserve">4e71c3bc4a19ceee2c9bc213bc10aaa7b5c652b8fa88962dd5a37090f0f128d4</t>
  </si>
  <si>
    <t xml:space="preserve">thống kê + fingerprint của lần chia split v1</t>
  </si>
  <si>
    <t xml:space="preserve">eed3ee2f3aa1f8def8944cade841ad0f0a65603832f2ce3a3bcf3410f60da9b7</t>
  </si>
  <si>
    <t xml:space="preserve">script chia train/val/test (P2)</t>
  </si>
  <si>
    <t xml:space="preserve">61a88c960eeb23174f2879c0d3d7bfbc1c25cb58cd6371753c4fde22af5327aa</t>
  </si>
  <si>
    <t xml:space="preserve">định nghĩa bài toán, metric, ràng buộc (P2)</t>
  </si>
  <si>
    <t xml:space="preserve">02_notebooks/eda_train.png</t>
  </si>
  <si>
    <t xml:space="preserve">png</t>
  </si>
  <si>
    <t xml:space="preserve">90a6c5317dc2349675bdb1d1801f76467908513c0ad627b7157dbf6bcb603f03</t>
  </si>
  <si>
    <t xml:space="preserve">biểu đồ EDA (chỉ train): phân phối SalePrice, GrLivArea vs SalePrice, top tương quan</t>
  </si>
  <si>
    <t xml:space="preserve">e45edd39598404486ff8765bedde8eb36d86c3a74629765310d46e6197f24b57</t>
  </si>
  <si>
    <t xml:space="preserve">báo cáo tóm tắt EDA train</t>
  </si>
  <si>
    <t xml:space="preserve">1be7990116f99f9bd87efbf9f313721eb28cb2435ae6838db42cb11808a6bfb2</t>
  </si>
  <si>
    <t xml:space="preserve">script EDA (chỉ train)</t>
  </si>
  <si>
    <t xml:space="preserve">06_reports/eda/eda_report.md</t>
  </si>
  <si>
    <t xml:space="preserve">0cfd619f752c91e02c96e78d2a4e03fd947661986dcc4e19029d27c4006b05c5</t>
  </si>
  <si>
    <t xml:space="preserve">báo cáo EDA cập nhật trên 71 cột (bản mới nhất, ghi đè bản 67 cột)</t>
  </si>
  <si>
    <t xml:space="preserve">06_reports/eda/eda.json</t>
  </si>
  <si>
    <t xml:space="preserve">7673421343082d3c34fed7dd0fe44f2245431094a129fe4c90c17294ab2477cb</t>
  </si>
  <si>
    <t xml:space="preserve">số liệu EDA dạng máy đọc</t>
  </si>
  <si>
    <t xml:space="preserve">06_reports/eda/eda_plots/correlation_heatmap.png</t>
  </si>
  <si>
    <t xml:space="preserve">3f5f9c74b62e31998a215d33b9b0adde52fdfe5afbff94eb932ebc246aa73520</t>
  </si>
  <si>
    <t xml:space="preserve">heatmap tương quan 28 cột số (đại diện cho 30 file trong eda_plots/)</t>
  </si>
  <si>
    <t xml:space="preserve">06_reports/eda/eda_plots/by_group/N1_KhuDat.png</t>
  </si>
  <si>
    <t xml:space="preserve">0f89df917b99bf9c3b9fbe1637c80e93128857dcdc6d01044655885fe30108b6</t>
  </si>
  <si>
    <t xml:space="preserve">biểu đồ quan hệ với SalePrice - nhóm N1_KhuDat</t>
  </si>
  <si>
    <t xml:space="preserve">06_reports/eda/eda_plots/by_group/N2_ViTri.png</t>
  </si>
  <si>
    <t xml:space="preserve">777b6a8d21d058930d17b7dfd0180b2544348f21f87f3108d566ab67fad2711e</t>
  </si>
  <si>
    <t xml:space="preserve">biểu đồ quan hệ với SalePrice - nhóm N2_ViTri</t>
  </si>
  <si>
    <t xml:space="preserve">06_reports/eda/eda_plots/by_group/N3_ChatLuongNha.png</t>
  </si>
  <si>
    <t xml:space="preserve">f9fb7ea094372d691e63d1523ff4e49cfe8203b401b7d13bb3dc7dd79ff8a818</t>
  </si>
  <si>
    <t xml:space="preserve">cập nhật: thêm Fireplaces/FireplaceQu</t>
  </si>
  <si>
    <t xml:space="preserve">06_reports/eda/eda_plots/by_group/N4_MongTangHam.png</t>
  </si>
  <si>
    <t xml:space="preserve">6a4275f39cb430a6a3808f613823a127d183a5f66dc6189fc17c70527dbfee22</t>
  </si>
  <si>
    <t xml:space="preserve">biểu đồ quan hệ với SalePrice - nhóm N4_MongTangHam</t>
  </si>
  <si>
    <t xml:space="preserve">06_reports/eda/eda_plots/by_group/N5_HeThong.png</t>
  </si>
  <si>
    <t xml:space="preserve">ca55ec7afe0d90692548531b0322c5cfb0da3f021f6f1823d7575d1be72e0651</t>
  </si>
  <si>
    <t xml:space="preserve">biểu đồ quan hệ với SalePrice - nhóm N5_HeThong</t>
  </si>
  <si>
    <t xml:space="preserve">06_reports/eda/eda_plots/by_group/N6_DienTichSinhHoat.png</t>
  </si>
  <si>
    <t xml:space="preserve">5f622d6b3107b6ed41e660ed64812557f7f72c1aa90f7cb359999af31d9d96a3</t>
  </si>
  <si>
    <t xml:space="preserve">cập nhật: thêm WoodDeckSF/OpenPorchSF</t>
  </si>
  <si>
    <t xml:space="preserve">06_reports/eda/eda_plots/by_group/N7_Garage.png</t>
  </si>
  <si>
    <t xml:space="preserve">852e464147262b85ce9955dc331cf800db60a04e34771e554c8b4cc10db08849</t>
  </si>
  <si>
    <t xml:space="preserve">biểu đồ quan hệ với SalePrice - nhóm N7_Garage</t>
  </si>
  <si>
    <t xml:space="preserve">06_reports/eda/eda_plots/by_group/N8_DuongVao.png</t>
  </si>
  <si>
    <t xml:space="preserve">eeef2fce42ca349d7ab57e6ca393a2ecad59248598b7a8d235076967a45de4ef</t>
  </si>
  <si>
    <t xml:space="preserve">biểu đồ quan hệ với SalePrice - nhóm N8_DuongVao</t>
  </si>
  <si>
    <t xml:space="preserve">06_reports/eda/eda_plots/by_group/N9_GiaoDich.png</t>
  </si>
  <si>
    <t xml:space="preserve">c104ff353a9c2eed16eadf17e9094d2dc62891e317e7a95e7c6970ae5c05cfb2</t>
  </si>
  <si>
    <t xml:space="preserve">biểu đồ quan hệ với SalePrice - nhóm N9_GiaoDich</t>
  </si>
  <si>
    <t xml:space="preserve">34212d902e49d0fd1db08cdae1e8d5e3f56a856b47f23c3d5423c349070bfa0f</t>
  </si>
  <si>
    <t xml:space="preserve">script vẽ biểu đồ EDA theo nhóm</t>
  </si>
  <si>
    <t xml:space="preserve">3f5ae97f4b679c7d5896f7a2afc77ebfa423c4fec3b46efce8369df2dbf477ae</t>
  </si>
  <si>
    <t xml:space="preserve">báo cáo EDA đầy đủ 79 cột (đối chiếu với 67 cột đã chọn)</t>
  </si>
  <si>
    <t xml:space="preserve">06_reports/eda_full/eda.json</t>
  </si>
  <si>
    <t xml:space="preserve">a860a5548eb7324418525edfb8aa365baf8bc3993f362a50d84796e09890dbe1</t>
  </si>
  <si>
    <t xml:space="preserve">số liệu EDA đầy đủ 79 cột</t>
  </si>
  <si>
    <t xml:space="preserve">267a220b2e4b6fc1317a692e78af9c0660fad859de392081f1b9baa54228bf13</t>
  </si>
  <si>
    <t xml:space="preserve">script EDA chính thức của skill (P4)</t>
  </si>
  <si>
    <t xml:space="preserve">7148d38810b4cacfa875b33ff0da4e434e0867392fd3b69d9e06b20923da7065</t>
  </si>
  <si>
    <t xml:space="preserve">script lọc 71 đặc trưng đã chọn (P4)</t>
  </si>
  <si>
    <t xml:space="preserve">Exp_ID</t>
  </si>
  <si>
    <t xml:space="preserve">Giờ</t>
  </si>
  <si>
    <t xml:space="preserve">Mục_tiêu/Giả_thuyết</t>
  </si>
  <si>
    <t xml:space="preserve">Exp_cha</t>
  </si>
  <si>
    <t xml:space="preserve">Thay_đổi_so_với_exp_cha</t>
  </si>
  <si>
    <t xml:space="preserve">Model</t>
  </si>
  <si>
    <t xml:space="preserve">Số_tham_số</t>
  </si>
  <si>
    <t xml:space="preserve">Phiên_bản_dữ_liệu/Split</t>
  </si>
  <si>
    <t xml:space="preserve">Đường_dẫn_config</t>
  </si>
  <si>
    <t xml:space="preserve">Hash_config</t>
  </si>
  <si>
    <t xml:space="preserve">Seed</t>
  </si>
  <si>
    <t xml:space="preserve">Epochs</t>
  </si>
  <si>
    <t xml:space="preserve">Batch</t>
  </si>
  <si>
    <t xml:space="preserve">Optimizer</t>
  </si>
  <si>
    <t xml:space="preserve">LR</t>
  </si>
  <si>
    <t xml:space="preserve">Augmentation</t>
  </si>
  <si>
    <t xml:space="preserve">Tên_metric</t>
  </si>
  <si>
    <t xml:space="preserve">Train_metric</t>
  </si>
  <si>
    <t xml:space="preserve">Val_metric</t>
  </si>
  <si>
    <t xml:space="preserve">Test_metric (chỉ mô hình cuối)</t>
  </si>
  <si>
    <t xml:space="preserve">Thời_gian_train</t>
  </si>
  <si>
    <t xml:space="preserve">Phần_cứng</t>
  </si>
  <si>
    <t xml:space="preserve">Checkpoint</t>
  </si>
  <si>
    <t xml:space="preserve">Kết_luận</t>
  </si>
  <si>
    <t xml:space="preserve">Thống kê nhật ký (công thức - chạy recalc.py để cập nhật giá trị cache)</t>
  </si>
  <si>
    <t xml:space="preserve">Tổng số dòng log</t>
  </si>
  <si>
    <t xml:space="preserve">Tổng số thí nghiệm</t>
  </si>
  <si>
    <t xml:space="preserve">Tổng số finding</t>
  </si>
  <si>
    <t xml:space="preserve">Thí nghiệm Done</t>
  </si>
  <si>
    <t xml:space="preserve">Finding còn Open</t>
  </si>
  <si>
    <t xml:space="preserve">Thí nghiệm Failed</t>
  </si>
  <si>
    <t xml:space="preserve">Theo loại hành động</t>
  </si>
  <si>
    <t xml:space="preserve">EXPLORE</t>
  </si>
  <si>
    <t xml:space="preserve">DISCOVER</t>
  </si>
  <si>
    <t xml:space="preserve">DELETE</t>
  </si>
  <si>
    <t xml:space="preserve">Theo trạng thái</t>
  </si>
  <si>
    <t xml:space="preserve">Needs-confirmation</t>
  </si>
  <si>
    <t xml:space="preserve">Reverted</t>
  </si>
  <si>
    <t xml:space="preserve">Theo mức độ</t>
  </si>
  <si>
    <t xml:space="preserve">Critical</t>
  </si>
</sst>
</file>

<file path=xl/styles.xml><?xml version="1.0" encoding="utf-8"?>
<styleSheet xmlns="http://schemas.openxmlformats.org/spreadsheetml/2006/main">
  <numFmts count="3">
    <numFmt numFmtId="164" formatCode="General"/>
    <numFmt numFmtId="165" formatCode="dd/mm/yyyy"/>
    <numFmt numFmtId="166" formatCode="hh:mm:ss"/>
  </numFmts>
  <fonts count="10">
    <font>
      <sz val="11"/>
      <color theme="1"/>
      <name val="Calibri"/>
      <family val="2"/>
      <charset val="1"/>
    </font>
    <font>
      <sz val="10"/>
      <name val="Arial"/>
      <family val="0"/>
    </font>
    <font>
      <sz val="10"/>
      <name val="Arial"/>
      <family val="0"/>
    </font>
    <font>
      <sz val="10"/>
      <name val="Arial"/>
      <family val="0"/>
    </font>
    <font>
      <b val="true"/>
      <sz val="12"/>
      <name val="Times New Roman"/>
      <family val="0"/>
      <charset val="1"/>
    </font>
    <font>
      <sz val="10"/>
      <name val="Times New Roman"/>
      <family val="0"/>
      <charset val="1"/>
    </font>
    <font>
      <b val="true"/>
      <sz val="10"/>
      <name val="Times New Roman"/>
      <family val="0"/>
      <charset val="1"/>
    </font>
    <font>
      <b val="true"/>
      <sz val="10"/>
      <color rgb="FFFFFFFF"/>
      <name val="Times New Roman"/>
      <family val="0"/>
      <charset val="1"/>
    </font>
    <font>
      <sz val="10"/>
      <name val="Arial"/>
      <family val="0"/>
      <charset val="1"/>
    </font>
    <font>
      <b val="true"/>
      <sz val="11"/>
      <name val="Times New Roman"/>
      <family val="0"/>
      <charset val="1"/>
    </font>
  </fonts>
  <fills count="4">
    <fill>
      <patternFill patternType="none"/>
    </fill>
    <fill>
      <patternFill patternType="gray125"/>
    </fill>
    <fill>
      <patternFill patternType="solid">
        <fgColor rgb="FF1F3864"/>
        <bgColor rgb="FF333333"/>
      </patternFill>
    </fill>
    <fill>
      <patternFill patternType="solid">
        <fgColor rgb="FFFCE4D6"/>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FF1F3864"/>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10"/>
  </cols>
  <sheetData>
    <row r="1" customFormat="false" ht="15" hidden="false" customHeight="true" outlineLevel="0" collapsed="false">
      <c r="A1" s="2" t="s">
        <v>0</v>
      </c>
      <c r="B1" s="3"/>
    </row>
    <row r="2" customFormat="false" ht="15" hidden="false" customHeight="true" outlineLevel="0" collapsed="false">
      <c r="A2" s="4" t="s">
        <v>1</v>
      </c>
      <c r="B2" s="3" t="s">
        <v>2</v>
      </c>
    </row>
    <row r="3" customFormat="false" ht="23.25" hidden="false" customHeight="true" outlineLevel="0" collapsed="false">
      <c r="A3" s="4" t="s">
        <v>3</v>
      </c>
      <c r="B3" s="3" t="s">
        <v>4</v>
      </c>
    </row>
    <row r="4" customFormat="false" ht="15" hidden="false" customHeight="true" outlineLevel="0" collapsed="false">
      <c r="A4" s="4" t="s">
        <v>5</v>
      </c>
      <c r="B4" s="3" t="s">
        <v>6</v>
      </c>
    </row>
    <row r="5" customFormat="false" ht="15" hidden="false" customHeight="true" outlineLevel="0" collapsed="false">
      <c r="A5" s="4" t="s">
        <v>7</v>
      </c>
      <c r="B5" s="3" t="s">
        <v>8</v>
      </c>
    </row>
    <row r="6" customFormat="false" ht="15" hidden="false" customHeight="true" outlineLevel="0" collapsed="false">
      <c r="A6" s="4" t="s">
        <v>9</v>
      </c>
      <c r="B6" s="3" t="s">
        <v>10</v>
      </c>
    </row>
    <row r="7" customFormat="false" ht="15" hidden="false" customHeight="true" outlineLevel="0" collapsed="false">
      <c r="A7" s="4" t="s">
        <v>11</v>
      </c>
      <c r="B7" s="3" t="s">
        <v>12</v>
      </c>
    </row>
    <row r="8" customFormat="false" ht="15" hidden="false" customHeight="true" outlineLevel="0" collapsed="false">
      <c r="A8" s="4" t="s">
        <v>13</v>
      </c>
      <c r="B8" s="3" t="s">
        <v>14</v>
      </c>
    </row>
    <row r="9" customFormat="false" ht="15" hidden="false" customHeight="true" outlineLevel="0" collapsed="false">
      <c r="A9" s="4" t="s">
        <v>15</v>
      </c>
      <c r="B9" s="3" t="s">
        <v>16</v>
      </c>
    </row>
    <row r="10" customFormat="false" ht="23.25" hidden="false" customHeight="true" outlineLevel="0" collapsed="false">
      <c r="A10" s="4" t="s">
        <v>17</v>
      </c>
      <c r="B10" s="3" t="s">
        <v>18</v>
      </c>
    </row>
    <row r="11" customFormat="false" ht="15" hidden="false" customHeight="true" outlineLevel="0" collapsed="false">
      <c r="A11" s="4" t="s">
        <v>19</v>
      </c>
      <c r="B11" s="3"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11"/>
    <col collapsed="false" customWidth="true" hidden="false" outlineLevel="0" max="5" min="4" style="1" width="14"/>
    <col collapsed="false" customWidth="true" hidden="false" outlineLevel="0" max="6" min="6" style="1" width="16"/>
    <col collapsed="false" customWidth="true" hidden="false" outlineLevel="0" max="7" min="7" style="1" width="10"/>
    <col collapsed="false" customWidth="true" hidden="false" outlineLevel="0" max="8" min="8" style="1" width="16"/>
    <col collapsed="false" customWidth="true" hidden="false" outlineLevel="0" max="9" min="9" style="1" width="14"/>
    <col collapsed="false" customWidth="true" hidden="false" outlineLevel="0" max="10" min="10" style="1" width="20"/>
    <col collapsed="false" customWidth="true" hidden="false" outlineLevel="0" max="11" min="11" style="1" width="26"/>
    <col collapsed="false" customWidth="true" hidden="false" outlineLevel="0" max="12" min="12" style="1" width="44"/>
    <col collapsed="false" customWidth="true" hidden="false" outlineLevel="0" max="13" min="13" style="1" width="22"/>
    <col collapsed="false" customWidth="true" hidden="false" outlineLevel="0" max="14" min="14" style="1" width="60"/>
    <col collapsed="false" customWidth="true" hidden="false" outlineLevel="0" max="17" min="15" style="1" width="40"/>
    <col collapsed="false" customWidth="true" hidden="false" outlineLevel="0" max="18" min="18" style="1" width="11"/>
    <col collapsed="false" customWidth="true" hidden="false" outlineLevel="0" max="19" min="19" style="1" width="18"/>
    <col collapsed="false" customWidth="true" hidden="false" outlineLevel="0" max="20" min="20" style="1" width="40"/>
    <col collapsed="false" customWidth="true" hidden="false" outlineLevel="0" max="21" min="21" style="1" width="16"/>
    <col collapsed="false" customWidth="true" hidden="false" outlineLevel="0" max="22" min="22" style="1" width="40"/>
    <col collapsed="false" customWidth="true" hidden="false" outlineLevel="0" max="24" min="23" style="1" width="34"/>
  </cols>
  <sheetData>
    <row r="1" customFormat="false" ht="31.5" hidden="false" customHeight="true" outlineLevel="0" collapsed="false">
      <c r="A1" s="5" t="s">
        <v>21</v>
      </c>
      <c r="B1" s="5" t="s">
        <v>22</v>
      </c>
      <c r="C1" s="5" t="s">
        <v>23</v>
      </c>
      <c r="D1" s="5" t="s">
        <v>15</v>
      </c>
      <c r="E1" s="5" t="s">
        <v>24</v>
      </c>
      <c r="F1" s="5" t="s">
        <v>5</v>
      </c>
      <c r="G1" s="5" t="s">
        <v>25</v>
      </c>
      <c r="H1" s="5" t="s">
        <v>7</v>
      </c>
      <c r="I1" s="5" t="s">
        <v>3</v>
      </c>
      <c r="J1" s="5" t="s">
        <v>26</v>
      </c>
      <c r="K1" s="5" t="s">
        <v>27</v>
      </c>
      <c r="L1" s="5" t="s">
        <v>28</v>
      </c>
      <c r="M1" s="5" t="s">
        <v>29</v>
      </c>
      <c r="N1" s="5" t="s">
        <v>30</v>
      </c>
      <c r="O1" s="5" t="s">
        <v>31</v>
      </c>
      <c r="P1" s="5" t="s">
        <v>32</v>
      </c>
      <c r="Q1" s="5" t="s">
        <v>33</v>
      </c>
      <c r="R1" s="5" t="s">
        <v>9</v>
      </c>
      <c r="S1" s="5" t="s">
        <v>11</v>
      </c>
      <c r="T1" s="5" t="s">
        <v>34</v>
      </c>
      <c r="U1" s="5" t="s">
        <v>35</v>
      </c>
      <c r="V1" s="5" t="s">
        <v>36</v>
      </c>
      <c r="W1" s="5" t="s">
        <v>37</v>
      </c>
      <c r="X1" s="5" t="s">
        <v>38</v>
      </c>
    </row>
    <row r="2" customFormat="false" ht="23.25" hidden="false" customHeight="true" outlineLevel="0" collapsed="false">
      <c r="A2" s="6" t="s">
        <v>39</v>
      </c>
      <c r="B2" s="7" t="n">
        <v>46287</v>
      </c>
      <c r="C2" s="8" t="n">
        <v>0.491342592592593</v>
      </c>
      <c r="D2" s="6" t="s">
        <v>40</v>
      </c>
      <c r="E2" s="6" t="s">
        <v>41</v>
      </c>
      <c r="F2" s="6" t="s">
        <v>42</v>
      </c>
      <c r="G2" s="6" t="s">
        <v>43</v>
      </c>
      <c r="H2" s="6" t="s">
        <v>44</v>
      </c>
      <c r="I2" s="6" t="s">
        <v>45</v>
      </c>
      <c r="J2" s="6" t="s">
        <v>46</v>
      </c>
      <c r="K2" s="6" t="s">
        <v>47</v>
      </c>
      <c r="L2" s="6" t="s">
        <v>48</v>
      </c>
      <c r="M2" s="6"/>
      <c r="N2" s="6" t="s">
        <v>49</v>
      </c>
      <c r="O2" s="6" t="s">
        <v>50</v>
      </c>
      <c r="P2" s="6"/>
      <c r="Q2" s="6"/>
      <c r="R2" s="6" t="s">
        <v>51</v>
      </c>
      <c r="S2" s="6" t="s">
        <v>52</v>
      </c>
      <c r="T2" s="6"/>
      <c r="U2" s="6"/>
      <c r="V2" s="6"/>
      <c r="W2" s="6" t="s">
        <v>53</v>
      </c>
      <c r="X2" s="6"/>
    </row>
    <row r="3" customFormat="false" ht="23.25" hidden="false" customHeight="true" outlineLevel="0" collapsed="false">
      <c r="A3" s="6" t="s">
        <v>54</v>
      </c>
      <c r="B3" s="7" t="n">
        <v>46287</v>
      </c>
      <c r="C3" s="8" t="n">
        <v>0.491342592592593</v>
      </c>
      <c r="D3" s="6" t="s">
        <v>40</v>
      </c>
      <c r="E3" s="6" t="s">
        <v>41</v>
      </c>
      <c r="F3" s="6" t="s">
        <v>42</v>
      </c>
      <c r="G3" s="6" t="s">
        <v>43</v>
      </c>
      <c r="H3" s="6" t="s">
        <v>44</v>
      </c>
      <c r="I3" s="6" t="s">
        <v>45</v>
      </c>
      <c r="J3" s="6" t="s">
        <v>55</v>
      </c>
      <c r="K3" s="6" t="s">
        <v>56</v>
      </c>
      <c r="L3" s="6" t="s">
        <v>57</v>
      </c>
      <c r="M3" s="6"/>
      <c r="N3" s="6" t="s">
        <v>58</v>
      </c>
      <c r="O3" s="6" t="s">
        <v>59</v>
      </c>
      <c r="P3" s="6"/>
      <c r="Q3" s="6"/>
      <c r="R3" s="6" t="s">
        <v>51</v>
      </c>
      <c r="S3" s="6" t="s">
        <v>52</v>
      </c>
      <c r="T3" s="6"/>
      <c r="U3" s="6"/>
      <c r="V3" s="6"/>
      <c r="W3" s="6" t="s">
        <v>53</v>
      </c>
      <c r="X3" s="6"/>
    </row>
    <row r="4" customFormat="false" ht="34.5" hidden="false" customHeight="true" outlineLevel="0" collapsed="false">
      <c r="A4" s="6" t="s">
        <v>60</v>
      </c>
      <c r="B4" s="7" t="n">
        <v>46287</v>
      </c>
      <c r="C4" s="8" t="n">
        <v>0.491516203703704</v>
      </c>
      <c r="D4" s="6" t="s">
        <v>40</v>
      </c>
      <c r="E4" s="6" t="s">
        <v>41</v>
      </c>
      <c r="F4" s="6" t="s">
        <v>42</v>
      </c>
      <c r="G4" s="6" t="s">
        <v>43</v>
      </c>
      <c r="H4" s="6" t="s">
        <v>44</v>
      </c>
      <c r="I4" s="6" t="s">
        <v>61</v>
      </c>
      <c r="J4" s="6" t="s">
        <v>46</v>
      </c>
      <c r="K4" s="6"/>
      <c r="L4" s="6"/>
      <c r="M4" s="6"/>
      <c r="N4" s="6" t="s">
        <v>62</v>
      </c>
      <c r="O4" s="6" t="s">
        <v>63</v>
      </c>
      <c r="P4" s="6"/>
      <c r="Q4" s="6"/>
      <c r="R4" s="6" t="s">
        <v>51</v>
      </c>
      <c r="S4" s="6" t="s">
        <v>52</v>
      </c>
      <c r="T4" s="6"/>
      <c r="U4" s="6"/>
      <c r="V4" s="6"/>
      <c r="W4" s="6"/>
      <c r="X4" s="6"/>
    </row>
    <row r="5" customFormat="false" ht="23.25" hidden="false" customHeight="true" outlineLevel="0" collapsed="false">
      <c r="A5" s="6" t="s">
        <v>64</v>
      </c>
      <c r="B5" s="7" t="n">
        <v>46287</v>
      </c>
      <c r="C5" s="8" t="n">
        <v>0.491516203703704</v>
      </c>
      <c r="D5" s="6" t="s">
        <v>40</v>
      </c>
      <c r="E5" s="6" t="s">
        <v>41</v>
      </c>
      <c r="F5" s="6" t="s">
        <v>42</v>
      </c>
      <c r="G5" s="6" t="s">
        <v>43</v>
      </c>
      <c r="H5" s="6" t="s">
        <v>44</v>
      </c>
      <c r="I5" s="6" t="s">
        <v>61</v>
      </c>
      <c r="J5" s="6" t="s">
        <v>46</v>
      </c>
      <c r="K5" s="6"/>
      <c r="L5" s="6"/>
      <c r="M5" s="6"/>
      <c r="N5" s="6" t="s">
        <v>65</v>
      </c>
      <c r="O5" s="6" t="s">
        <v>66</v>
      </c>
      <c r="P5" s="6"/>
      <c r="Q5" s="6"/>
      <c r="R5" s="6" t="s">
        <v>51</v>
      </c>
      <c r="S5" s="6" t="s">
        <v>52</v>
      </c>
      <c r="T5" s="6"/>
      <c r="U5" s="6"/>
      <c r="V5" s="6"/>
      <c r="W5" s="6"/>
      <c r="X5" s="6"/>
    </row>
    <row r="6" customFormat="false" ht="34.5" hidden="false" customHeight="true" outlineLevel="0" collapsed="false">
      <c r="A6" s="6" t="s">
        <v>67</v>
      </c>
      <c r="B6" s="7" t="n">
        <v>46287</v>
      </c>
      <c r="C6" s="8" t="n">
        <v>0.491527777777778</v>
      </c>
      <c r="D6" s="6" t="s">
        <v>40</v>
      </c>
      <c r="E6" s="6" t="s">
        <v>41</v>
      </c>
      <c r="F6" s="6" t="s">
        <v>42</v>
      </c>
      <c r="G6" s="6" t="s">
        <v>43</v>
      </c>
      <c r="H6" s="6" t="s">
        <v>44</v>
      </c>
      <c r="I6" s="6" t="s">
        <v>61</v>
      </c>
      <c r="J6" s="6" t="s">
        <v>46</v>
      </c>
      <c r="K6" s="6"/>
      <c r="L6" s="6"/>
      <c r="M6" s="6"/>
      <c r="N6" s="6" t="s">
        <v>68</v>
      </c>
      <c r="O6" s="6" t="s">
        <v>69</v>
      </c>
      <c r="P6" s="6"/>
      <c r="Q6" s="6"/>
      <c r="R6" s="6" t="s">
        <v>51</v>
      </c>
      <c r="S6" s="6" t="s">
        <v>52</v>
      </c>
      <c r="T6" s="6"/>
      <c r="U6" s="6"/>
      <c r="V6" s="6"/>
      <c r="W6" s="6"/>
      <c r="X6" s="6"/>
    </row>
    <row r="7" customFormat="false" ht="34.5" hidden="false" customHeight="true" outlineLevel="0" collapsed="false">
      <c r="A7" s="6" t="s">
        <v>70</v>
      </c>
      <c r="B7" s="7" t="n">
        <v>46287</v>
      </c>
      <c r="C7" s="8" t="n">
        <v>0.496064814814815</v>
      </c>
      <c r="D7" s="6" t="s">
        <v>40</v>
      </c>
      <c r="E7" s="6" t="s">
        <v>41</v>
      </c>
      <c r="F7" s="6" t="s">
        <v>42</v>
      </c>
      <c r="G7" s="6" t="s">
        <v>43</v>
      </c>
      <c r="H7" s="6" t="s">
        <v>44</v>
      </c>
      <c r="I7" s="6" t="s">
        <v>45</v>
      </c>
      <c r="J7" s="6" t="s">
        <v>71</v>
      </c>
      <c r="K7" s="6" t="s">
        <v>72</v>
      </c>
      <c r="L7" s="6" t="s">
        <v>72</v>
      </c>
      <c r="M7" s="6"/>
      <c r="N7" s="6" t="s">
        <v>73</v>
      </c>
      <c r="O7" s="6"/>
      <c r="P7" s="6"/>
      <c r="Q7" s="6"/>
      <c r="R7" s="6" t="s">
        <v>51</v>
      </c>
      <c r="S7" s="6" t="s">
        <v>52</v>
      </c>
      <c r="T7" s="6" t="s">
        <v>74</v>
      </c>
      <c r="U7" s="6"/>
      <c r="V7" s="6"/>
      <c r="W7" s="6"/>
      <c r="X7" s="6"/>
    </row>
    <row r="8" customFormat="false" ht="23.25" hidden="false" customHeight="true" outlineLevel="0" collapsed="false">
      <c r="A8" s="6" t="s">
        <v>75</v>
      </c>
      <c r="B8" s="7" t="n">
        <v>46287</v>
      </c>
      <c r="C8" s="8" t="n">
        <v>0.496064814814815</v>
      </c>
      <c r="D8" s="6" t="s">
        <v>40</v>
      </c>
      <c r="E8" s="6" t="s">
        <v>41</v>
      </c>
      <c r="F8" s="6" t="s">
        <v>42</v>
      </c>
      <c r="G8" s="6" t="s">
        <v>43</v>
      </c>
      <c r="H8" s="6" t="s">
        <v>44</v>
      </c>
      <c r="I8" s="6" t="s">
        <v>45</v>
      </c>
      <c r="J8" s="6" t="s">
        <v>71</v>
      </c>
      <c r="K8" s="6" t="s">
        <v>76</v>
      </c>
      <c r="L8" s="6" t="s">
        <v>76</v>
      </c>
      <c r="M8" s="6"/>
      <c r="N8" s="6" t="s">
        <v>77</v>
      </c>
      <c r="O8" s="6"/>
      <c r="P8" s="6"/>
      <c r="Q8" s="6"/>
      <c r="R8" s="6" t="s">
        <v>51</v>
      </c>
      <c r="S8" s="6" t="s">
        <v>52</v>
      </c>
      <c r="T8" s="6" t="s">
        <v>78</v>
      </c>
      <c r="U8" s="6"/>
      <c r="V8" s="6"/>
      <c r="W8" s="6"/>
      <c r="X8" s="6"/>
    </row>
    <row r="9" customFormat="false" ht="23.25" hidden="false" customHeight="true" outlineLevel="0" collapsed="false">
      <c r="A9" s="6" t="s">
        <v>79</v>
      </c>
      <c r="B9" s="7" t="n">
        <v>46287</v>
      </c>
      <c r="C9" s="8" t="n">
        <v>0.496076388888889</v>
      </c>
      <c r="D9" s="6" t="s">
        <v>40</v>
      </c>
      <c r="E9" s="6" t="s">
        <v>41</v>
      </c>
      <c r="F9" s="6" t="s">
        <v>42</v>
      </c>
      <c r="G9" s="6" t="s">
        <v>43</v>
      </c>
      <c r="H9" s="6" t="s">
        <v>44</v>
      </c>
      <c r="I9" s="6" t="s">
        <v>45</v>
      </c>
      <c r="J9" s="6" t="s">
        <v>71</v>
      </c>
      <c r="K9" s="6" t="s">
        <v>80</v>
      </c>
      <c r="L9" s="6" t="s">
        <v>80</v>
      </c>
      <c r="M9" s="6"/>
      <c r="N9" s="6" t="s">
        <v>81</v>
      </c>
      <c r="O9" s="6"/>
      <c r="P9" s="6"/>
      <c r="Q9" s="6"/>
      <c r="R9" s="6" t="s">
        <v>51</v>
      </c>
      <c r="S9" s="6" t="s">
        <v>52</v>
      </c>
      <c r="T9" s="6"/>
      <c r="U9" s="6"/>
      <c r="V9" s="6"/>
      <c r="W9" s="6"/>
      <c r="X9" s="6"/>
    </row>
    <row r="10" customFormat="false" ht="23.25" hidden="false" customHeight="true" outlineLevel="0" collapsed="false">
      <c r="A10" s="6" t="s">
        <v>82</v>
      </c>
      <c r="B10" s="7" t="n">
        <v>46287</v>
      </c>
      <c r="C10" s="8" t="n">
        <v>0.504305555555556</v>
      </c>
      <c r="D10" s="6" t="s">
        <v>40</v>
      </c>
      <c r="E10" s="6" t="s">
        <v>41</v>
      </c>
      <c r="F10" s="6" t="s">
        <v>42</v>
      </c>
      <c r="G10" s="6" t="s">
        <v>43</v>
      </c>
      <c r="H10" s="6" t="s">
        <v>83</v>
      </c>
      <c r="I10" s="6" t="s">
        <v>61</v>
      </c>
      <c r="J10" s="6" t="s">
        <v>84</v>
      </c>
      <c r="K10" s="6"/>
      <c r="L10" s="6"/>
      <c r="M10" s="6"/>
      <c r="N10" s="6" t="s">
        <v>85</v>
      </c>
      <c r="O10" s="6" t="s">
        <v>86</v>
      </c>
      <c r="P10" s="6"/>
      <c r="Q10" s="6"/>
      <c r="R10" s="6" t="s">
        <v>51</v>
      </c>
      <c r="S10" s="6" t="s">
        <v>52</v>
      </c>
      <c r="T10" s="6"/>
      <c r="U10" s="6"/>
      <c r="V10" s="6"/>
      <c r="W10" s="6"/>
      <c r="X10" s="6"/>
    </row>
    <row r="11" customFormat="false" ht="23.25" hidden="false" customHeight="true" outlineLevel="0" collapsed="false">
      <c r="A11" s="6" t="s">
        <v>87</v>
      </c>
      <c r="B11" s="7" t="n">
        <v>46287</v>
      </c>
      <c r="C11" s="8" t="n">
        <v>0.50431712962963</v>
      </c>
      <c r="D11" s="6" t="s">
        <v>40</v>
      </c>
      <c r="E11" s="6" t="s">
        <v>41</v>
      </c>
      <c r="F11" s="6" t="s">
        <v>42</v>
      </c>
      <c r="G11" s="6" t="s">
        <v>43</v>
      </c>
      <c r="H11" s="6" t="s">
        <v>83</v>
      </c>
      <c r="I11" s="6" t="s">
        <v>88</v>
      </c>
      <c r="J11" s="6" t="s">
        <v>84</v>
      </c>
      <c r="K11" s="6"/>
      <c r="L11" s="6"/>
      <c r="M11" s="6"/>
      <c r="N11" s="6" t="s">
        <v>89</v>
      </c>
      <c r="O11" s="6"/>
      <c r="P11" s="6"/>
      <c r="Q11" s="6"/>
      <c r="R11" s="6" t="s">
        <v>51</v>
      </c>
      <c r="S11" s="6" t="s">
        <v>52</v>
      </c>
      <c r="T11" s="6"/>
      <c r="U11" s="6"/>
      <c r="V11" s="6"/>
      <c r="W11" s="6"/>
      <c r="X11" s="6"/>
    </row>
    <row r="12" customFormat="false" ht="79.5" hidden="false" customHeight="true" outlineLevel="0" collapsed="false">
      <c r="A12" s="6" t="s">
        <v>90</v>
      </c>
      <c r="B12" s="7" t="n">
        <v>46288</v>
      </c>
      <c r="C12" s="8" t="n">
        <v>0.546921296296296</v>
      </c>
      <c r="D12" s="6" t="s">
        <v>40</v>
      </c>
      <c r="E12" s="6" t="s">
        <v>91</v>
      </c>
      <c r="F12" s="6" t="s">
        <v>42</v>
      </c>
      <c r="G12" s="6" t="s">
        <v>43</v>
      </c>
      <c r="H12" s="6" t="s">
        <v>83</v>
      </c>
      <c r="I12" s="6" t="s">
        <v>92</v>
      </c>
      <c r="J12" s="6" t="s">
        <v>93</v>
      </c>
      <c r="K12" s="6"/>
      <c r="L12" s="6"/>
      <c r="M12" s="6"/>
      <c r="N12" s="6" t="s">
        <v>94</v>
      </c>
      <c r="O12" s="6"/>
      <c r="P12" s="6"/>
      <c r="Q12" s="6"/>
      <c r="R12" s="6" t="s">
        <v>51</v>
      </c>
      <c r="S12" s="6" t="s">
        <v>52</v>
      </c>
      <c r="T12" s="6"/>
      <c r="U12" s="6"/>
      <c r="V12" s="6"/>
      <c r="W12" s="6"/>
      <c r="X12" s="6" t="s">
        <v>95</v>
      </c>
    </row>
    <row r="13" customFormat="false" ht="23.25" hidden="false" customHeight="true" outlineLevel="0" collapsed="false">
      <c r="A13" s="6" t="s">
        <v>96</v>
      </c>
      <c r="B13" s="7" t="n">
        <v>46288</v>
      </c>
      <c r="C13" s="8" t="n">
        <v>0.551018518518519</v>
      </c>
      <c r="D13" s="6" t="s">
        <v>40</v>
      </c>
      <c r="E13" s="6" t="s">
        <v>91</v>
      </c>
      <c r="F13" s="6" t="s">
        <v>42</v>
      </c>
      <c r="G13" s="6" t="s">
        <v>43</v>
      </c>
      <c r="H13" s="6" t="s">
        <v>83</v>
      </c>
      <c r="I13" s="6" t="s">
        <v>45</v>
      </c>
      <c r="J13" s="6" t="s">
        <v>93</v>
      </c>
      <c r="K13" s="6" t="s">
        <v>97</v>
      </c>
      <c r="L13" s="6" t="s">
        <v>98</v>
      </c>
      <c r="M13" s="6"/>
      <c r="N13" s="6" t="s">
        <v>99</v>
      </c>
      <c r="O13" s="6"/>
      <c r="P13" s="6"/>
      <c r="Q13" s="6"/>
      <c r="R13" s="6" t="s">
        <v>51</v>
      </c>
      <c r="S13" s="6" t="s">
        <v>52</v>
      </c>
      <c r="T13" s="6"/>
      <c r="U13" s="6"/>
      <c r="V13" s="6"/>
      <c r="W13" s="6"/>
      <c r="X13" s="6"/>
    </row>
    <row r="14" customFormat="false" ht="68.25" hidden="false" customHeight="true" outlineLevel="0" collapsed="false">
      <c r="A14" s="9" t="s">
        <v>100</v>
      </c>
      <c r="B14" s="10" t="n">
        <v>46288</v>
      </c>
      <c r="C14" s="11" t="n">
        <v>0.554097222222222</v>
      </c>
      <c r="D14" s="9" t="s">
        <v>40</v>
      </c>
      <c r="E14" s="9" t="s">
        <v>91</v>
      </c>
      <c r="F14" s="9" t="s">
        <v>42</v>
      </c>
      <c r="G14" s="9" t="s">
        <v>43</v>
      </c>
      <c r="H14" s="9" t="s">
        <v>83</v>
      </c>
      <c r="I14" s="9" t="s">
        <v>88</v>
      </c>
      <c r="J14" s="9" t="s">
        <v>101</v>
      </c>
      <c r="K14" s="9"/>
      <c r="L14" s="9"/>
      <c r="M14" s="9"/>
      <c r="N14" s="9" t="s">
        <v>102</v>
      </c>
      <c r="O14" s="9" t="s">
        <v>103</v>
      </c>
      <c r="P14" s="9"/>
      <c r="Q14" s="9"/>
      <c r="R14" s="9" t="s">
        <v>51</v>
      </c>
      <c r="S14" s="9" t="s">
        <v>52</v>
      </c>
      <c r="T14" s="9"/>
      <c r="U14" s="9"/>
      <c r="V14" s="9"/>
      <c r="W14" s="9"/>
      <c r="X14" s="9" t="s">
        <v>104</v>
      </c>
    </row>
    <row r="15" customFormat="false" ht="113.25" hidden="false" customHeight="true" outlineLevel="0" collapsed="false">
      <c r="A15" s="9" t="s">
        <v>105</v>
      </c>
      <c r="B15" s="10" t="n">
        <v>46288</v>
      </c>
      <c r="C15" s="11" t="n">
        <v>0.556180555555556</v>
      </c>
      <c r="D15" s="9" t="s">
        <v>40</v>
      </c>
      <c r="E15" s="9" t="s">
        <v>91</v>
      </c>
      <c r="F15" s="9" t="s">
        <v>42</v>
      </c>
      <c r="G15" s="9" t="s">
        <v>43</v>
      </c>
      <c r="H15" s="9" t="s">
        <v>83</v>
      </c>
      <c r="I15" s="9" t="s">
        <v>88</v>
      </c>
      <c r="J15" s="9" t="s">
        <v>101</v>
      </c>
      <c r="K15" s="9"/>
      <c r="L15" s="9"/>
      <c r="M15" s="9"/>
      <c r="N15" s="9" t="s">
        <v>106</v>
      </c>
      <c r="O15" s="9" t="s">
        <v>107</v>
      </c>
      <c r="P15" s="9"/>
      <c r="Q15" s="9"/>
      <c r="R15" s="9" t="s">
        <v>51</v>
      </c>
      <c r="S15" s="9" t="s">
        <v>52</v>
      </c>
      <c r="T15" s="9"/>
      <c r="U15" s="9" t="s">
        <v>108</v>
      </c>
      <c r="V15" s="9"/>
      <c r="W15" s="9"/>
      <c r="X15" s="9"/>
    </row>
    <row r="16" customFormat="false" ht="68.25" hidden="false" customHeight="true" outlineLevel="0" collapsed="false">
      <c r="A16" s="9" t="s">
        <v>109</v>
      </c>
      <c r="B16" s="10" t="n">
        <v>46288</v>
      </c>
      <c r="C16" s="11" t="n">
        <v>0.557847222222222</v>
      </c>
      <c r="D16" s="9" t="s">
        <v>40</v>
      </c>
      <c r="E16" s="9" t="s">
        <v>91</v>
      </c>
      <c r="F16" s="9" t="s">
        <v>42</v>
      </c>
      <c r="G16" s="9" t="s">
        <v>43</v>
      </c>
      <c r="H16" s="9" t="s">
        <v>83</v>
      </c>
      <c r="I16" s="9" t="s">
        <v>88</v>
      </c>
      <c r="J16" s="9" t="s">
        <v>101</v>
      </c>
      <c r="K16" s="9"/>
      <c r="L16" s="9"/>
      <c r="M16" s="9"/>
      <c r="N16" s="9" t="s">
        <v>110</v>
      </c>
      <c r="O16" s="9" t="s">
        <v>111</v>
      </c>
      <c r="P16" s="9"/>
      <c r="Q16" s="9"/>
      <c r="R16" s="9" t="s">
        <v>51</v>
      </c>
      <c r="S16" s="9" t="s">
        <v>52</v>
      </c>
      <c r="T16" s="9"/>
      <c r="U16" s="9"/>
      <c r="V16" s="9"/>
      <c r="W16" s="9"/>
      <c r="X16" s="9"/>
    </row>
    <row r="17" customFormat="false" ht="90.75" hidden="false" customHeight="true" outlineLevel="0" collapsed="false">
      <c r="A17" s="9" t="s">
        <v>112</v>
      </c>
      <c r="B17" s="10" t="n">
        <v>46289</v>
      </c>
      <c r="C17" s="11" t="n">
        <v>0.441539351851852</v>
      </c>
      <c r="D17" s="9" t="s">
        <v>40</v>
      </c>
      <c r="E17" s="9" t="s">
        <v>113</v>
      </c>
      <c r="F17" s="9" t="s">
        <v>42</v>
      </c>
      <c r="G17" s="9" t="s">
        <v>43</v>
      </c>
      <c r="H17" s="9" t="s">
        <v>83</v>
      </c>
      <c r="I17" s="9" t="s">
        <v>92</v>
      </c>
      <c r="J17" s="9" t="s">
        <v>114</v>
      </c>
      <c r="K17" s="9"/>
      <c r="L17" s="9"/>
      <c r="M17" s="9"/>
      <c r="N17" s="9" t="s">
        <v>115</v>
      </c>
      <c r="O17" s="9"/>
      <c r="P17" s="9"/>
      <c r="Q17" s="9"/>
      <c r="R17" s="9" t="s">
        <v>51</v>
      </c>
      <c r="S17" s="9" t="s">
        <v>52</v>
      </c>
      <c r="T17" s="9"/>
      <c r="U17" s="9"/>
      <c r="V17" s="9"/>
      <c r="W17" s="9"/>
      <c r="X17" s="9" t="s">
        <v>116</v>
      </c>
    </row>
    <row r="18" customFormat="false" ht="23.25" hidden="false" customHeight="true" outlineLevel="0" collapsed="false">
      <c r="A18" s="9" t="s">
        <v>117</v>
      </c>
      <c r="B18" s="10" t="n">
        <v>46289</v>
      </c>
      <c r="C18" s="11" t="n">
        <v>0.441655092592593</v>
      </c>
      <c r="D18" s="9" t="s">
        <v>40</v>
      </c>
      <c r="E18" s="9" t="s">
        <v>113</v>
      </c>
      <c r="F18" s="9" t="s">
        <v>42</v>
      </c>
      <c r="G18" s="9" t="s">
        <v>43</v>
      </c>
      <c r="H18" s="9" t="s">
        <v>83</v>
      </c>
      <c r="I18" s="9" t="s">
        <v>45</v>
      </c>
      <c r="J18" s="9" t="s">
        <v>114</v>
      </c>
      <c r="K18" s="9" t="s">
        <v>118</v>
      </c>
      <c r="L18" s="9" t="s">
        <v>119</v>
      </c>
      <c r="M18" s="9"/>
      <c r="N18" s="9" t="s">
        <v>120</v>
      </c>
      <c r="O18" s="9"/>
      <c r="P18" s="9"/>
      <c r="Q18" s="9"/>
      <c r="R18" s="9" t="s">
        <v>51</v>
      </c>
      <c r="S18" s="9" t="s">
        <v>52</v>
      </c>
      <c r="T18" s="9"/>
      <c r="U18" s="9"/>
      <c r="V18" s="9"/>
      <c r="W18" s="9"/>
      <c r="X18" s="9"/>
    </row>
    <row r="19" customFormat="false" ht="57" hidden="false" customHeight="true" outlineLevel="0" collapsed="false">
      <c r="A19" s="9" t="s">
        <v>121</v>
      </c>
      <c r="B19" s="10" t="n">
        <v>46289</v>
      </c>
      <c r="C19" s="11" t="n">
        <v>0.457569444444444</v>
      </c>
      <c r="D19" s="9" t="s">
        <v>40</v>
      </c>
      <c r="E19" s="9" t="s">
        <v>113</v>
      </c>
      <c r="F19" s="9" t="s">
        <v>42</v>
      </c>
      <c r="G19" s="9" t="s">
        <v>43</v>
      </c>
      <c r="H19" s="9" t="s">
        <v>83</v>
      </c>
      <c r="I19" s="9" t="s">
        <v>45</v>
      </c>
      <c r="J19" s="9" t="s">
        <v>122</v>
      </c>
      <c r="K19" s="9" t="s">
        <v>123</v>
      </c>
      <c r="L19" s="9" t="s">
        <v>124</v>
      </c>
      <c r="M19" s="9"/>
      <c r="N19" s="9" t="s">
        <v>125</v>
      </c>
      <c r="O19" s="9" t="s">
        <v>126</v>
      </c>
      <c r="P19" s="9"/>
      <c r="Q19" s="9"/>
      <c r="R19" s="9" t="s">
        <v>51</v>
      </c>
      <c r="S19" s="9" t="s">
        <v>52</v>
      </c>
      <c r="T19" s="9"/>
      <c r="U19" s="9"/>
      <c r="V19" s="9"/>
      <c r="W19" s="9"/>
      <c r="X19" s="9"/>
    </row>
    <row r="20" customFormat="false" ht="57" hidden="false" customHeight="true" outlineLevel="0" collapsed="false">
      <c r="A20" s="9" t="s">
        <v>127</v>
      </c>
      <c r="B20" s="10" t="n">
        <v>46289</v>
      </c>
      <c r="C20" s="11" t="n">
        <v>0.457569444444444</v>
      </c>
      <c r="D20" s="9" t="s">
        <v>40</v>
      </c>
      <c r="E20" s="9" t="s">
        <v>113</v>
      </c>
      <c r="F20" s="9" t="s">
        <v>42</v>
      </c>
      <c r="G20" s="9" t="s">
        <v>43</v>
      </c>
      <c r="H20" s="9" t="s">
        <v>83</v>
      </c>
      <c r="I20" s="9" t="s">
        <v>128</v>
      </c>
      <c r="J20" s="9" t="s">
        <v>122</v>
      </c>
      <c r="K20" s="9"/>
      <c r="L20" s="9"/>
      <c r="M20" s="9"/>
      <c r="N20" s="9" t="s">
        <v>129</v>
      </c>
      <c r="O20" s="9"/>
      <c r="P20" s="9"/>
      <c r="Q20" s="9"/>
      <c r="R20" s="9" t="s">
        <v>51</v>
      </c>
      <c r="S20" s="9" t="s">
        <v>52</v>
      </c>
      <c r="T20" s="9"/>
      <c r="U20" s="9"/>
      <c r="V20" s="9"/>
      <c r="W20" s="9"/>
      <c r="X20" s="9"/>
    </row>
    <row r="21" customFormat="false" ht="124.5" hidden="false" customHeight="true" outlineLevel="0" collapsed="false">
      <c r="A21" s="9" t="s">
        <v>130</v>
      </c>
      <c r="B21" s="10" t="n">
        <v>46289</v>
      </c>
      <c r="C21" s="11" t="n">
        <v>0.688842592592593</v>
      </c>
      <c r="D21" s="9" t="s">
        <v>40</v>
      </c>
      <c r="E21" s="9" t="s">
        <v>113</v>
      </c>
      <c r="F21" s="9" t="s">
        <v>42</v>
      </c>
      <c r="G21" s="9" t="s">
        <v>43</v>
      </c>
      <c r="H21" s="9" t="s">
        <v>83</v>
      </c>
      <c r="I21" s="9" t="s">
        <v>92</v>
      </c>
      <c r="J21" s="9" t="s">
        <v>131</v>
      </c>
      <c r="K21" s="9"/>
      <c r="L21" s="9"/>
      <c r="M21" s="9"/>
      <c r="N21" s="9" t="s">
        <v>132</v>
      </c>
      <c r="O21" s="9"/>
      <c r="P21" s="9"/>
      <c r="Q21" s="9"/>
      <c r="R21" s="9" t="s">
        <v>51</v>
      </c>
      <c r="S21" s="9" t="s">
        <v>52</v>
      </c>
      <c r="T21" s="9"/>
      <c r="U21" s="9"/>
      <c r="V21" s="9"/>
      <c r="W21" s="9"/>
      <c r="X21" s="9" t="s">
        <v>133</v>
      </c>
    </row>
    <row r="22" customFormat="false" ht="68.25" hidden="false" customHeight="true" outlineLevel="0" collapsed="false">
      <c r="A22" s="9" t="s">
        <v>134</v>
      </c>
      <c r="B22" s="10" t="n">
        <v>46289</v>
      </c>
      <c r="C22" s="11" t="n">
        <v>0.688854166666667</v>
      </c>
      <c r="D22" s="9" t="s">
        <v>40</v>
      </c>
      <c r="E22" s="9" t="s">
        <v>113</v>
      </c>
      <c r="F22" s="9" t="s">
        <v>42</v>
      </c>
      <c r="G22" s="9" t="s">
        <v>43</v>
      </c>
      <c r="H22" s="9" t="s">
        <v>83</v>
      </c>
      <c r="I22" s="9" t="s">
        <v>61</v>
      </c>
      <c r="J22" s="9" t="s">
        <v>131</v>
      </c>
      <c r="K22" s="9"/>
      <c r="L22" s="9"/>
      <c r="M22" s="9"/>
      <c r="N22" s="9" t="s">
        <v>135</v>
      </c>
      <c r="O22" s="9" t="s">
        <v>136</v>
      </c>
      <c r="P22" s="9"/>
      <c r="Q22" s="9"/>
      <c r="R22" s="9" t="s">
        <v>51</v>
      </c>
      <c r="S22" s="9" t="s">
        <v>52</v>
      </c>
      <c r="T22" s="9"/>
      <c r="U22" s="9" t="s">
        <v>137</v>
      </c>
      <c r="V22" s="9"/>
      <c r="W22" s="9"/>
      <c r="X22" s="9"/>
    </row>
    <row r="23" customFormat="false" ht="23.25" hidden="false" customHeight="true" outlineLevel="0" collapsed="false">
      <c r="A23" s="9" t="s">
        <v>138</v>
      </c>
      <c r="B23" s="10" t="n">
        <v>46289</v>
      </c>
      <c r="C23" s="11" t="n">
        <v>0.689074074074074</v>
      </c>
      <c r="D23" s="9" t="s">
        <v>40</v>
      </c>
      <c r="E23" s="9" t="s">
        <v>113</v>
      </c>
      <c r="F23" s="9" t="s">
        <v>42</v>
      </c>
      <c r="G23" s="9" t="s">
        <v>43</v>
      </c>
      <c r="H23" s="9" t="s">
        <v>83</v>
      </c>
      <c r="I23" s="9" t="s">
        <v>45</v>
      </c>
      <c r="J23" s="9" t="s">
        <v>131</v>
      </c>
      <c r="K23" s="9" t="s">
        <v>139</v>
      </c>
      <c r="L23" s="9" t="s">
        <v>140</v>
      </c>
      <c r="M23" s="9"/>
      <c r="N23" s="9" t="s">
        <v>141</v>
      </c>
      <c r="O23" s="9"/>
      <c r="P23" s="9"/>
      <c r="Q23" s="9"/>
      <c r="R23" s="9" t="s">
        <v>51</v>
      </c>
      <c r="S23" s="9" t="s">
        <v>52</v>
      </c>
      <c r="T23" s="9"/>
      <c r="U23" s="9"/>
      <c r="V23" s="9"/>
      <c r="W23" s="9"/>
      <c r="X23" s="9"/>
    </row>
    <row r="24" customFormat="false" ht="23.25" hidden="false" customHeight="true" outlineLevel="0" collapsed="false">
      <c r="A24" s="9" t="s">
        <v>142</v>
      </c>
      <c r="B24" s="10" t="n">
        <v>46289</v>
      </c>
      <c r="C24" s="11" t="n">
        <v>0.689074074074074</v>
      </c>
      <c r="D24" s="9" t="s">
        <v>40</v>
      </c>
      <c r="E24" s="9" t="s">
        <v>113</v>
      </c>
      <c r="F24" s="9" t="s">
        <v>42</v>
      </c>
      <c r="G24" s="9" t="s">
        <v>43</v>
      </c>
      <c r="H24" s="9" t="s">
        <v>83</v>
      </c>
      <c r="I24" s="9" t="s">
        <v>45</v>
      </c>
      <c r="J24" s="9" t="s">
        <v>131</v>
      </c>
      <c r="K24" s="9" t="s">
        <v>143</v>
      </c>
      <c r="L24" s="9" t="s">
        <v>144</v>
      </c>
      <c r="M24" s="9"/>
      <c r="N24" s="9" t="s">
        <v>145</v>
      </c>
      <c r="O24" s="9"/>
      <c r="P24" s="9"/>
      <c r="Q24" s="9"/>
      <c r="R24" s="9" t="s">
        <v>51</v>
      </c>
      <c r="S24" s="9" t="s">
        <v>52</v>
      </c>
      <c r="T24" s="9"/>
      <c r="U24" s="9"/>
      <c r="V24" s="9"/>
      <c r="W24" s="9"/>
      <c r="X24" s="9"/>
    </row>
    <row r="25" customFormat="false" ht="102" hidden="false" customHeight="true" outlineLevel="0" collapsed="false">
      <c r="A25" s="9" t="s">
        <v>146</v>
      </c>
      <c r="B25" s="10" t="n">
        <v>46289</v>
      </c>
      <c r="C25" s="11" t="n">
        <v>0.693634259259259</v>
      </c>
      <c r="D25" s="9" t="s">
        <v>40</v>
      </c>
      <c r="E25" s="9" t="s">
        <v>113</v>
      </c>
      <c r="F25" s="9" t="s">
        <v>42</v>
      </c>
      <c r="G25" s="9" t="s">
        <v>43</v>
      </c>
      <c r="H25" s="9" t="s">
        <v>83</v>
      </c>
      <c r="I25" s="9" t="s">
        <v>147</v>
      </c>
      <c r="J25" s="9" t="s">
        <v>148</v>
      </c>
      <c r="K25" s="9"/>
      <c r="L25" s="9"/>
      <c r="M25" s="9"/>
      <c r="N25" s="9" t="s">
        <v>149</v>
      </c>
      <c r="O25" s="9"/>
      <c r="P25" s="9"/>
      <c r="Q25" s="9"/>
      <c r="R25" s="9" t="s">
        <v>51</v>
      </c>
      <c r="S25" s="9" t="s">
        <v>52</v>
      </c>
      <c r="T25" s="9"/>
      <c r="U25" s="9"/>
      <c r="V25" s="9"/>
      <c r="W25" s="9"/>
      <c r="X25" s="9" t="s">
        <v>150</v>
      </c>
    </row>
    <row r="26" customFormat="false" ht="124.5" hidden="false" customHeight="true" outlineLevel="0" collapsed="false">
      <c r="A26" s="9" t="s">
        <v>151</v>
      </c>
      <c r="B26" s="10" t="n">
        <v>46289</v>
      </c>
      <c r="C26" s="11" t="n">
        <v>0.969212962962963</v>
      </c>
      <c r="D26" s="9" t="s">
        <v>40</v>
      </c>
      <c r="E26" s="9" t="s">
        <v>113</v>
      </c>
      <c r="F26" s="9" t="s">
        <v>42</v>
      </c>
      <c r="G26" s="9" t="s">
        <v>43</v>
      </c>
      <c r="H26" s="9" t="s">
        <v>83</v>
      </c>
      <c r="I26" s="9" t="s">
        <v>128</v>
      </c>
      <c r="J26" s="9" t="s">
        <v>152</v>
      </c>
      <c r="K26" s="9"/>
      <c r="L26" s="9"/>
      <c r="M26" s="9"/>
      <c r="N26" s="9" t="s">
        <v>153</v>
      </c>
      <c r="O26" s="9" t="s">
        <v>154</v>
      </c>
      <c r="P26" s="9"/>
      <c r="Q26" s="9"/>
      <c r="R26" s="9" t="s">
        <v>51</v>
      </c>
      <c r="S26" s="9" t="s">
        <v>52</v>
      </c>
      <c r="T26" s="9"/>
      <c r="U26" s="9"/>
      <c r="V26" s="9"/>
      <c r="W26" s="9"/>
      <c r="X26" s="9"/>
    </row>
    <row r="27" customFormat="false" ht="90.75" hidden="false" customHeight="true" outlineLevel="0" collapsed="false">
      <c r="A27" s="9" t="s">
        <v>155</v>
      </c>
      <c r="B27" s="10" t="n">
        <v>46289</v>
      </c>
      <c r="C27" s="11" t="n">
        <v>0.969212962962963</v>
      </c>
      <c r="D27" s="9" t="s">
        <v>40</v>
      </c>
      <c r="E27" s="9" t="s">
        <v>113</v>
      </c>
      <c r="F27" s="9" t="s">
        <v>42</v>
      </c>
      <c r="G27" s="9" t="s">
        <v>43</v>
      </c>
      <c r="H27" s="9" t="s">
        <v>83</v>
      </c>
      <c r="I27" s="9" t="s">
        <v>128</v>
      </c>
      <c r="J27" s="9" t="s">
        <v>152</v>
      </c>
      <c r="K27" s="9"/>
      <c r="L27" s="9"/>
      <c r="M27" s="9"/>
      <c r="N27" s="9" t="s">
        <v>156</v>
      </c>
      <c r="O27" s="9" t="s">
        <v>157</v>
      </c>
      <c r="P27" s="9"/>
      <c r="Q27" s="9"/>
      <c r="R27" s="9" t="s">
        <v>51</v>
      </c>
      <c r="S27" s="9" t="s">
        <v>52</v>
      </c>
      <c r="T27" s="9"/>
      <c r="U27" s="9"/>
      <c r="V27" s="9"/>
      <c r="W27" s="9"/>
      <c r="X27" s="9"/>
    </row>
    <row r="28" customFormat="false" ht="124.5" hidden="false" customHeight="true" outlineLevel="0" collapsed="false">
      <c r="A28" s="9" t="s">
        <v>158</v>
      </c>
      <c r="B28" s="10" t="n">
        <v>46290</v>
      </c>
      <c r="C28" s="11" t="n">
        <v>0.580555555555556</v>
      </c>
      <c r="D28" s="9" t="s">
        <v>40</v>
      </c>
      <c r="E28" s="9" t="s">
        <v>159</v>
      </c>
      <c r="F28" s="9" t="s">
        <v>42</v>
      </c>
      <c r="G28" s="9" t="s">
        <v>43</v>
      </c>
      <c r="H28" s="9" t="s">
        <v>83</v>
      </c>
      <c r="I28" s="9" t="s">
        <v>128</v>
      </c>
      <c r="J28" s="9" t="s">
        <v>160</v>
      </c>
      <c r="K28" s="9"/>
      <c r="L28" s="9"/>
      <c r="M28" s="9"/>
      <c r="N28" s="9" t="s">
        <v>161</v>
      </c>
      <c r="O28" s="9" t="s">
        <v>162</v>
      </c>
      <c r="P28" s="9"/>
      <c r="Q28" s="9"/>
      <c r="R28" s="9" t="s">
        <v>51</v>
      </c>
      <c r="S28" s="9" t="s">
        <v>52</v>
      </c>
      <c r="T28" s="9"/>
      <c r="U28" s="9"/>
      <c r="V28" s="9"/>
      <c r="W28" s="9"/>
      <c r="X28" s="9"/>
    </row>
    <row r="29" customFormat="false" ht="68.25" hidden="false" customHeight="true" outlineLevel="0" collapsed="false">
      <c r="A29" s="9" t="s">
        <v>163</v>
      </c>
      <c r="B29" s="10" t="n">
        <v>46290</v>
      </c>
      <c r="C29" s="11" t="n">
        <v>0.580555555555556</v>
      </c>
      <c r="D29" s="9" t="s">
        <v>40</v>
      </c>
      <c r="E29" s="9" t="s">
        <v>159</v>
      </c>
      <c r="F29" s="9" t="s">
        <v>42</v>
      </c>
      <c r="G29" s="9" t="s">
        <v>43</v>
      </c>
      <c r="H29" s="9" t="s">
        <v>83</v>
      </c>
      <c r="I29" s="9" t="s">
        <v>128</v>
      </c>
      <c r="J29" s="9" t="s">
        <v>160</v>
      </c>
      <c r="K29" s="9"/>
      <c r="L29" s="9"/>
      <c r="M29" s="9"/>
      <c r="N29" s="9" t="s">
        <v>164</v>
      </c>
      <c r="O29" s="9"/>
      <c r="P29" s="9"/>
      <c r="Q29" s="9"/>
      <c r="R29" s="9" t="s">
        <v>51</v>
      </c>
      <c r="S29" s="9" t="s">
        <v>52</v>
      </c>
      <c r="T29" s="9"/>
      <c r="U29" s="9"/>
      <c r="V29" s="9"/>
      <c r="W29" s="9"/>
      <c r="X29" s="9"/>
    </row>
    <row r="30" customFormat="false" ht="68.25" hidden="false" customHeight="true" outlineLevel="0" collapsed="false">
      <c r="A30" s="9" t="s">
        <v>165</v>
      </c>
      <c r="B30" s="10" t="n">
        <v>46290</v>
      </c>
      <c r="C30" s="11" t="n">
        <v>0.598553240740741</v>
      </c>
      <c r="D30" s="9" t="s">
        <v>40</v>
      </c>
      <c r="E30" s="9" t="s">
        <v>159</v>
      </c>
      <c r="F30" s="9" t="s">
        <v>42</v>
      </c>
      <c r="G30" s="9" t="s">
        <v>43</v>
      </c>
      <c r="H30" s="9" t="s">
        <v>83</v>
      </c>
      <c r="I30" s="9" t="s">
        <v>45</v>
      </c>
      <c r="J30" s="9" t="s">
        <v>166</v>
      </c>
      <c r="K30" s="9" t="s">
        <v>167</v>
      </c>
      <c r="L30" s="9" t="s">
        <v>168</v>
      </c>
      <c r="M30" s="9"/>
      <c r="N30" s="9" t="s">
        <v>169</v>
      </c>
      <c r="O30" s="9"/>
      <c r="P30" s="9"/>
      <c r="Q30" s="9"/>
      <c r="R30" s="9" t="s">
        <v>51</v>
      </c>
      <c r="S30" s="9" t="s">
        <v>52</v>
      </c>
      <c r="T30" s="9"/>
      <c r="U30" s="9"/>
      <c r="V30" s="9"/>
      <c r="W30" s="9"/>
      <c r="X30" s="9"/>
    </row>
    <row r="31" customFormat="false" ht="168.75" hidden="false" customHeight="true" outlineLevel="0" collapsed="false">
      <c r="A31" s="9" t="s">
        <v>170</v>
      </c>
      <c r="B31" s="10" t="n">
        <v>46290</v>
      </c>
      <c r="C31" s="11" t="n">
        <v>0.598564814814815</v>
      </c>
      <c r="D31" s="9" t="s">
        <v>40</v>
      </c>
      <c r="E31" s="9" t="s">
        <v>159</v>
      </c>
      <c r="F31" s="9" t="s">
        <v>42</v>
      </c>
      <c r="G31" s="9" t="s">
        <v>43</v>
      </c>
      <c r="H31" s="9" t="s">
        <v>83</v>
      </c>
      <c r="I31" s="9" t="s">
        <v>92</v>
      </c>
      <c r="J31" s="9" t="s">
        <v>166</v>
      </c>
      <c r="K31" s="9"/>
      <c r="L31" s="9"/>
      <c r="M31" s="9"/>
      <c r="N31" s="9" t="s">
        <v>171</v>
      </c>
      <c r="O31" s="9"/>
      <c r="P31" s="9"/>
      <c r="Q31" s="9"/>
      <c r="R31" s="9" t="s">
        <v>51</v>
      </c>
      <c r="S31" s="9" t="s">
        <v>52</v>
      </c>
      <c r="T31" s="9"/>
      <c r="U31" s="9"/>
      <c r="V31" s="9"/>
      <c r="W31" s="9"/>
      <c r="X31" s="9" t="s">
        <v>172</v>
      </c>
    </row>
    <row r="32" customFormat="false" ht="45.75" hidden="false" customHeight="true" outlineLevel="0" collapsed="false">
      <c r="A32" s="9" t="s">
        <v>173</v>
      </c>
      <c r="B32" s="10" t="n">
        <v>46290</v>
      </c>
      <c r="C32" s="11" t="n">
        <v>0.602893518518519</v>
      </c>
      <c r="D32" s="9" t="s">
        <v>40</v>
      </c>
      <c r="E32" s="9" t="s">
        <v>159</v>
      </c>
      <c r="F32" s="9" t="s">
        <v>42</v>
      </c>
      <c r="G32" s="9" t="s">
        <v>43</v>
      </c>
      <c r="H32" s="9" t="s">
        <v>83</v>
      </c>
      <c r="I32" s="9" t="s">
        <v>45</v>
      </c>
      <c r="J32" s="9" t="s">
        <v>166</v>
      </c>
      <c r="K32" s="9"/>
      <c r="L32" s="9"/>
      <c r="M32" s="9"/>
      <c r="N32" s="9" t="s">
        <v>174</v>
      </c>
      <c r="O32" s="9"/>
      <c r="P32" s="9"/>
      <c r="Q32" s="9"/>
      <c r="R32" s="9" t="s">
        <v>51</v>
      </c>
      <c r="S32" s="9" t="s">
        <v>52</v>
      </c>
      <c r="T32" s="9"/>
      <c r="U32" s="9"/>
      <c r="V32" s="9"/>
      <c r="W32" s="9"/>
      <c r="X32" s="9"/>
    </row>
    <row r="33" customFormat="false" ht="23.25" hidden="false" customHeight="true" outlineLevel="0" collapsed="false">
      <c r="A33" s="9" t="s">
        <v>175</v>
      </c>
      <c r="B33" s="10" t="n">
        <v>46290</v>
      </c>
      <c r="C33" s="11" t="n">
        <v>0.602951388888889</v>
      </c>
      <c r="D33" s="9" t="s">
        <v>40</v>
      </c>
      <c r="E33" s="9" t="s">
        <v>159</v>
      </c>
      <c r="F33" s="9" t="s">
        <v>42</v>
      </c>
      <c r="G33" s="9" t="s">
        <v>43</v>
      </c>
      <c r="H33" s="9" t="s">
        <v>83</v>
      </c>
      <c r="I33" s="9" t="s">
        <v>45</v>
      </c>
      <c r="J33" s="9" t="s">
        <v>166</v>
      </c>
      <c r="K33" s="9" t="s">
        <v>176</v>
      </c>
      <c r="L33" s="9" t="s">
        <v>177</v>
      </c>
      <c r="M33" s="9"/>
      <c r="N33" s="9" t="s">
        <v>178</v>
      </c>
      <c r="O33" s="9"/>
      <c r="P33" s="9"/>
      <c r="Q33" s="9"/>
      <c r="R33" s="9" t="s">
        <v>51</v>
      </c>
      <c r="S33" s="9" t="s">
        <v>52</v>
      </c>
      <c r="T33" s="9"/>
      <c r="U33" s="9"/>
      <c r="V33" s="9"/>
      <c r="W33" s="9"/>
      <c r="X33" s="9"/>
    </row>
    <row r="34" customFormat="false" ht="180" hidden="false" customHeight="true" outlineLevel="0" collapsed="false">
      <c r="A34" s="9" t="s">
        <v>179</v>
      </c>
      <c r="B34" s="10" t="n">
        <v>46290</v>
      </c>
      <c r="C34" s="11" t="n">
        <v>0.618171296296296</v>
      </c>
      <c r="D34" s="9" t="s">
        <v>40</v>
      </c>
      <c r="E34" s="9" t="s">
        <v>159</v>
      </c>
      <c r="F34" s="9" t="s">
        <v>42</v>
      </c>
      <c r="G34" s="9" t="s">
        <v>43</v>
      </c>
      <c r="H34" s="9" t="s">
        <v>83</v>
      </c>
      <c r="I34" s="9" t="s">
        <v>92</v>
      </c>
      <c r="J34" s="9" t="s">
        <v>166</v>
      </c>
      <c r="K34" s="9"/>
      <c r="L34" s="9"/>
      <c r="M34" s="9"/>
      <c r="N34" s="9" t="s">
        <v>180</v>
      </c>
      <c r="O34" s="9"/>
      <c r="P34" s="9"/>
      <c r="Q34" s="9"/>
      <c r="R34" s="9" t="s">
        <v>51</v>
      </c>
      <c r="S34" s="9" t="s">
        <v>52</v>
      </c>
      <c r="T34" s="9"/>
      <c r="U34" s="9"/>
      <c r="V34" s="9"/>
      <c r="W34" s="9"/>
      <c r="X34" s="9" t="s">
        <v>181</v>
      </c>
    </row>
    <row r="35" customFormat="false" ht="57" hidden="false" customHeight="true" outlineLevel="0" collapsed="false">
      <c r="A35" s="9" t="s">
        <v>182</v>
      </c>
      <c r="B35" s="10" t="n">
        <v>46290</v>
      </c>
      <c r="C35" s="11" t="n">
        <v>0.619652777777778</v>
      </c>
      <c r="D35" s="9" t="s">
        <v>40</v>
      </c>
      <c r="E35" s="9" t="s">
        <v>159</v>
      </c>
      <c r="F35" s="9" t="s">
        <v>42</v>
      </c>
      <c r="G35" s="9" t="s">
        <v>43</v>
      </c>
      <c r="H35" s="9" t="s">
        <v>83</v>
      </c>
      <c r="I35" s="9" t="s">
        <v>61</v>
      </c>
      <c r="J35" s="9" t="s">
        <v>166</v>
      </c>
      <c r="K35" s="9"/>
      <c r="L35" s="9"/>
      <c r="M35" s="9"/>
      <c r="N35" s="9" t="s">
        <v>183</v>
      </c>
      <c r="O35" s="9" t="s">
        <v>184</v>
      </c>
      <c r="P35" s="9"/>
      <c r="Q35" s="9"/>
      <c r="R35" s="9" t="s">
        <v>51</v>
      </c>
      <c r="S35" s="9" t="s">
        <v>52</v>
      </c>
      <c r="T35" s="9"/>
      <c r="U35" s="9" t="s">
        <v>185</v>
      </c>
      <c r="V35" s="9"/>
      <c r="W35" s="9"/>
      <c r="X35" s="9"/>
    </row>
    <row r="36" customFormat="false" ht="34.5" hidden="false" customHeight="true" outlineLevel="0" collapsed="false">
      <c r="A36" s="9" t="s">
        <v>186</v>
      </c>
      <c r="B36" s="10" t="n">
        <v>46290</v>
      </c>
      <c r="C36" s="11" t="n">
        <v>0.78525462962963</v>
      </c>
      <c r="D36" s="9" t="s">
        <v>40</v>
      </c>
      <c r="E36" s="9" t="s">
        <v>159</v>
      </c>
      <c r="F36" s="9" t="s">
        <v>42</v>
      </c>
      <c r="G36" s="9" t="s">
        <v>43</v>
      </c>
      <c r="H36" s="9" t="s">
        <v>83</v>
      </c>
      <c r="I36" s="9" t="s">
        <v>187</v>
      </c>
      <c r="J36" s="9" t="s">
        <v>166</v>
      </c>
      <c r="K36" s="9" t="s">
        <v>167</v>
      </c>
      <c r="L36" s="9" t="s">
        <v>168</v>
      </c>
      <c r="M36" s="9"/>
      <c r="N36" s="9" t="s">
        <v>188</v>
      </c>
      <c r="O36" s="9"/>
      <c r="P36" s="9"/>
      <c r="Q36" s="9"/>
      <c r="R36" s="9" t="s">
        <v>51</v>
      </c>
      <c r="S36" s="9" t="s">
        <v>52</v>
      </c>
      <c r="T36" s="9"/>
      <c r="U36" s="9"/>
      <c r="V36" s="9"/>
      <c r="W36" s="9"/>
      <c r="X36" s="9"/>
    </row>
    <row r="37" customFormat="false" ht="57" hidden="false" customHeight="true" outlineLevel="0" collapsed="false">
      <c r="A37" s="9" t="s">
        <v>189</v>
      </c>
      <c r="B37" s="10" t="n">
        <v>46290</v>
      </c>
      <c r="C37" s="11" t="n">
        <v>0.78525462962963</v>
      </c>
      <c r="D37" s="9" t="s">
        <v>40</v>
      </c>
      <c r="E37" s="9" t="s">
        <v>159</v>
      </c>
      <c r="F37" s="9" t="s">
        <v>42</v>
      </c>
      <c r="G37" s="9" t="s">
        <v>43</v>
      </c>
      <c r="H37" s="9" t="s">
        <v>83</v>
      </c>
      <c r="I37" s="9" t="s">
        <v>92</v>
      </c>
      <c r="J37" s="9" t="s">
        <v>166</v>
      </c>
      <c r="K37" s="9"/>
      <c r="L37" s="9"/>
      <c r="M37" s="9"/>
      <c r="N37" s="9" t="s">
        <v>190</v>
      </c>
      <c r="O37" s="9"/>
      <c r="P37" s="9"/>
      <c r="Q37" s="9"/>
      <c r="R37" s="9" t="s">
        <v>51</v>
      </c>
      <c r="S37" s="9" t="s">
        <v>52</v>
      </c>
      <c r="T37" s="9"/>
      <c r="U37" s="9"/>
      <c r="V37" s="9"/>
      <c r="W37" s="9"/>
      <c r="X37" s="9" t="s">
        <v>191</v>
      </c>
    </row>
    <row r="38" customFormat="false" ht="23.25" hidden="false" customHeight="true" outlineLevel="0" collapsed="false">
      <c r="A38" s="9" t="s">
        <v>192</v>
      </c>
      <c r="B38" s="10" t="n">
        <v>46290</v>
      </c>
      <c r="C38" s="11" t="n">
        <v>0.788993055555556</v>
      </c>
      <c r="D38" s="9" t="s">
        <v>40</v>
      </c>
      <c r="E38" s="9" t="s">
        <v>159</v>
      </c>
      <c r="F38" s="9" t="s">
        <v>42</v>
      </c>
      <c r="G38" s="9" t="s">
        <v>43</v>
      </c>
      <c r="H38" s="9" t="s">
        <v>83</v>
      </c>
      <c r="I38" s="9" t="s">
        <v>45</v>
      </c>
      <c r="J38" s="9" t="s">
        <v>166</v>
      </c>
      <c r="K38" s="9" t="s">
        <v>193</v>
      </c>
      <c r="L38" s="9" t="s">
        <v>194</v>
      </c>
      <c r="M38" s="9"/>
      <c r="N38" s="9" t="s">
        <v>195</v>
      </c>
      <c r="O38" s="9"/>
      <c r="P38" s="9"/>
      <c r="Q38" s="9"/>
      <c r="R38" s="9" t="s">
        <v>51</v>
      </c>
      <c r="S38" s="9" t="s">
        <v>52</v>
      </c>
      <c r="T38" s="9"/>
      <c r="U38" s="9"/>
      <c r="V38" s="9"/>
      <c r="W38" s="9"/>
      <c r="X38" s="9"/>
    </row>
    <row r="39" customFormat="false" ht="35.05" hidden="false" customHeight="false" outlineLevel="0" collapsed="false">
      <c r="A39" s="9" t="s">
        <v>196</v>
      </c>
      <c r="B39" s="10" t="n">
        <v>46290</v>
      </c>
      <c r="C39" s="11" t="n">
        <v>0.792743055555556</v>
      </c>
      <c r="D39" s="9" t="s">
        <v>40</v>
      </c>
      <c r="E39" s="9" t="s">
        <v>159</v>
      </c>
      <c r="F39" s="9" t="s">
        <v>42</v>
      </c>
      <c r="G39" s="9" t="s">
        <v>43</v>
      </c>
      <c r="H39" s="9" t="s">
        <v>83</v>
      </c>
      <c r="I39" s="9" t="s">
        <v>45</v>
      </c>
      <c r="J39" s="9" t="s">
        <v>166</v>
      </c>
      <c r="K39" s="9" t="s">
        <v>197</v>
      </c>
      <c r="L39" s="9" t="s">
        <v>198</v>
      </c>
      <c r="M39" s="9"/>
      <c r="N39" s="9" t="s">
        <v>199</v>
      </c>
      <c r="O39" s="9"/>
      <c r="P39" s="9"/>
      <c r="Q39" s="9"/>
      <c r="R39" s="9" t="s">
        <v>51</v>
      </c>
      <c r="S39" s="9" t="s">
        <v>52</v>
      </c>
      <c r="T39" s="9" t="s">
        <v>200</v>
      </c>
      <c r="U39" s="9"/>
      <c r="V39" s="9"/>
      <c r="W39" s="9"/>
      <c r="X39" s="9"/>
    </row>
  </sheetData>
  <autoFilter ref="A1:X1"/>
  <dataValidations count="4">
    <dataValidation allowBlank="true" errorStyle="stop" operator="between" showDropDown="false" showErrorMessage="false" showInputMessage="false" sqref="I2:I1009" type="list">
      <formula1>"EXPLORE,DISCOVER,CREATE,MODIFY,FIX,DELETE,RUN,VERIFY,DECISION,NOTE"</formula1>
      <formula2>0</formula2>
    </dataValidation>
    <dataValidation allowBlank="true" errorStyle="stop" operator="between" showDropDown="false" showErrorMessage="false" showInputMessage="false" sqref="R2:R1009" type="list">
      <formula1>"Info,Low,Medium,High,Critical"</formula1>
      <formula2>0</formula2>
    </dataValidation>
    <dataValidation allowBlank="true" errorStyle="stop" operator="between" showDropDown="false" showErrorMessage="false" showInputMessage="false" sqref="S2:S1009" type="list">
      <formula1>"Done,Open,Needs-confirmation,Reverted,Wontfix"</formula1>
      <formula2>0</formula2>
    </dataValidation>
    <dataValidation allowBlank="true" errorStyle="stop" operator="between" showDropDown="false" showErrorMessage="false" showInputMessage="false" sqref="G2:G1009" type="list">
      <formula1>"AI,Human,Tool"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2"/>
    <col collapsed="false" customWidth="true" hidden="false" outlineLevel="0" max="3" min="3" style="1" width="11"/>
    <col collapsed="false" customWidth="true" hidden="false" outlineLevel="0" max="4" min="4" style="1" width="22"/>
    <col collapsed="false" customWidth="true" hidden="false" outlineLevel="0" max="5" min="5" style="1" width="20"/>
    <col collapsed="false" customWidth="true" hidden="false" outlineLevel="0" max="6" min="6" style="1" width="26"/>
    <col collapsed="false" customWidth="true" hidden="false" outlineLevel="0" max="7" min="7" style="1" width="22"/>
    <col collapsed="false" customWidth="true" hidden="false" outlineLevel="0" max="8" min="8" style="1" width="60"/>
    <col collapsed="false" customWidth="true" hidden="false" outlineLevel="0" max="9" min="9" style="1" width="50"/>
    <col collapsed="false" customWidth="true" hidden="false" outlineLevel="0" max="10" min="10" style="1" width="44"/>
    <col collapsed="false" customWidth="true" hidden="false" outlineLevel="0" max="11" min="11" style="1" width="18"/>
    <col collapsed="false" customWidth="true" hidden="false" outlineLevel="0" max="12" min="12" style="1" width="16"/>
  </cols>
  <sheetData>
    <row r="1" customFormat="false" ht="31.5" hidden="false" customHeight="true" outlineLevel="0" collapsed="false">
      <c r="A1" s="5" t="s">
        <v>201</v>
      </c>
      <c r="B1" s="5" t="s">
        <v>202</v>
      </c>
      <c r="C1" s="5" t="s">
        <v>9</v>
      </c>
      <c r="D1" s="5" t="s">
        <v>203</v>
      </c>
      <c r="E1" s="5" t="s">
        <v>26</v>
      </c>
      <c r="F1" s="5" t="s">
        <v>27</v>
      </c>
      <c r="G1" s="5" t="s">
        <v>204</v>
      </c>
      <c r="H1" s="5" t="s">
        <v>205</v>
      </c>
      <c r="I1" s="5" t="s">
        <v>206</v>
      </c>
      <c r="J1" s="5" t="s">
        <v>207</v>
      </c>
      <c r="K1" s="5" t="s">
        <v>11</v>
      </c>
      <c r="L1" s="5" t="s">
        <v>208</v>
      </c>
    </row>
    <row r="2" customFormat="false" ht="45.75" hidden="false" customHeight="true" outlineLevel="0" collapsed="false">
      <c r="A2" s="6" t="s">
        <v>209</v>
      </c>
      <c r="B2" s="7" t="n">
        <v>46288</v>
      </c>
      <c r="C2" s="6" t="s">
        <v>210</v>
      </c>
      <c r="D2" s="6" t="s">
        <v>211</v>
      </c>
      <c r="E2" s="6" t="s">
        <v>93</v>
      </c>
      <c r="F2" s="6" t="s">
        <v>212</v>
      </c>
      <c r="G2" s="6"/>
      <c r="H2" s="6" t="s">
        <v>213</v>
      </c>
      <c r="I2" s="6" t="s">
        <v>214</v>
      </c>
      <c r="J2" s="6" t="s">
        <v>215</v>
      </c>
      <c r="K2" s="6" t="s">
        <v>216</v>
      </c>
      <c r="L2" s="6"/>
    </row>
    <row r="3" customFormat="false" ht="57" hidden="false" customHeight="true" outlineLevel="0" collapsed="false">
      <c r="A3" s="9" t="s">
        <v>217</v>
      </c>
      <c r="B3" s="10" t="n">
        <v>46289</v>
      </c>
      <c r="C3" s="9" t="s">
        <v>218</v>
      </c>
      <c r="D3" s="9" t="s">
        <v>219</v>
      </c>
      <c r="E3" s="9" t="s">
        <v>114</v>
      </c>
      <c r="F3" s="9" t="s">
        <v>220</v>
      </c>
      <c r="G3" s="9"/>
      <c r="H3" s="9" t="s">
        <v>221</v>
      </c>
      <c r="I3" s="9" t="s">
        <v>222</v>
      </c>
      <c r="J3" s="9" t="s">
        <v>223</v>
      </c>
      <c r="K3" s="9" t="s">
        <v>224</v>
      </c>
      <c r="L3" s="9"/>
    </row>
    <row r="4" customFormat="false" ht="90.75" hidden="false" customHeight="true" outlineLevel="0" collapsed="false">
      <c r="A4" s="9" t="s">
        <v>225</v>
      </c>
      <c r="B4" s="10" t="n">
        <v>46289</v>
      </c>
      <c r="C4" s="12" t="s">
        <v>226</v>
      </c>
      <c r="D4" s="9" t="s">
        <v>227</v>
      </c>
      <c r="E4" s="9" t="s">
        <v>131</v>
      </c>
      <c r="F4" s="9" t="s">
        <v>228</v>
      </c>
      <c r="G4" s="9" t="s">
        <v>229</v>
      </c>
      <c r="H4" s="9" t="s">
        <v>230</v>
      </c>
      <c r="I4" s="9" t="s">
        <v>231</v>
      </c>
      <c r="J4" s="9" t="s">
        <v>232</v>
      </c>
      <c r="K4" s="9" t="s">
        <v>216</v>
      </c>
      <c r="L4" s="9"/>
    </row>
    <row r="5" customFormat="false" ht="57" hidden="false" customHeight="true" outlineLevel="0" collapsed="false">
      <c r="A5" s="9" t="s">
        <v>185</v>
      </c>
      <c r="B5" s="10" t="n">
        <v>46290</v>
      </c>
      <c r="C5" s="9" t="s">
        <v>210</v>
      </c>
      <c r="D5" s="9" t="s">
        <v>233</v>
      </c>
      <c r="E5" s="9" t="s">
        <v>166</v>
      </c>
      <c r="F5" s="9" t="s">
        <v>234</v>
      </c>
      <c r="G5" s="9"/>
      <c r="H5" s="9" t="s">
        <v>235</v>
      </c>
      <c r="I5" s="9" t="s">
        <v>236</v>
      </c>
      <c r="J5" s="9" t="s">
        <v>237</v>
      </c>
      <c r="K5" s="9" t="s">
        <v>52</v>
      </c>
      <c r="L5" s="9"/>
    </row>
    <row r="6" customFormat="false" ht="57" hidden="false" customHeight="true" outlineLevel="0" collapsed="false">
      <c r="A6" s="9" t="s">
        <v>238</v>
      </c>
      <c r="B6" s="10" t="n">
        <v>46290</v>
      </c>
      <c r="C6" s="9" t="s">
        <v>210</v>
      </c>
      <c r="D6" s="9" t="s">
        <v>233</v>
      </c>
      <c r="E6" s="9" t="s">
        <v>166</v>
      </c>
      <c r="F6" s="9" t="s">
        <v>234</v>
      </c>
      <c r="G6" s="9"/>
      <c r="H6" s="9" t="s">
        <v>235</v>
      </c>
      <c r="I6" s="9" t="s">
        <v>236</v>
      </c>
      <c r="J6" s="9" t="s">
        <v>239</v>
      </c>
      <c r="K6" s="9" t="s">
        <v>52</v>
      </c>
      <c r="L6" s="9"/>
    </row>
  </sheetData>
  <autoFilter ref="A1:L1"/>
  <dataValidations count="2">
    <dataValidation allowBlank="true" errorStyle="stop" operator="between" showDropDown="false" showErrorMessage="false" showInputMessage="false" sqref="C2:C1001" type="list">
      <formula1>"Info,Low,Medium,High,Critical"</formula1>
      <formula2>0</formula2>
    </dataValidation>
    <dataValidation allowBlank="true" errorStyle="stop" operator="between" showDropDown="false" showErrorMessage="false" showInputMessage="false" sqref="K2:K1001" type="list">
      <formula1>"Done,Open,Needs-confirmation,Reverted,Wontfix"</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6"/>
    <col collapsed="false" customWidth="true" hidden="false" outlineLevel="0" max="2" min="2" style="1" width="10"/>
    <col collapsed="false" customWidth="true" hidden="false" outlineLevel="0" max="3" min="3" style="1" width="16"/>
    <col collapsed="false" customWidth="true" hidden="false" outlineLevel="0" max="4" min="4" style="1" width="66"/>
    <col collapsed="false" customWidth="true" hidden="false" outlineLevel="0" max="5" min="5" style="1" width="40"/>
    <col collapsed="false" customWidth="true" hidden="false" outlineLevel="0" max="7" min="6" style="1" width="14"/>
  </cols>
  <sheetData>
    <row r="1" customFormat="false" ht="31.5" hidden="false" customHeight="true" outlineLevel="0" collapsed="false">
      <c r="A1" s="5" t="s">
        <v>28</v>
      </c>
      <c r="B1" s="5" t="s">
        <v>240</v>
      </c>
      <c r="C1" s="5" t="s">
        <v>241</v>
      </c>
      <c r="D1" s="5" t="s">
        <v>242</v>
      </c>
      <c r="E1" s="5" t="s">
        <v>243</v>
      </c>
      <c r="F1" s="5" t="s">
        <v>244</v>
      </c>
      <c r="G1" s="5" t="s">
        <v>245</v>
      </c>
    </row>
    <row r="2" customFormat="false" ht="23.25" hidden="false" customHeight="true" outlineLevel="0" collapsed="false">
      <c r="A2" s="6" t="s">
        <v>212</v>
      </c>
      <c r="B2" s="6" t="s">
        <v>246</v>
      </c>
      <c r="C2" s="6" t="n">
        <v>460676</v>
      </c>
      <c r="D2" s="6" t="s">
        <v>247</v>
      </c>
      <c r="E2" s="6" t="s">
        <v>248</v>
      </c>
      <c r="F2" s="7" t="n">
        <v>46287</v>
      </c>
      <c r="G2" s="6"/>
    </row>
    <row r="3" customFormat="false" ht="15" hidden="false" customHeight="true" outlineLevel="0" collapsed="false">
      <c r="A3" s="6" t="s">
        <v>72</v>
      </c>
      <c r="B3" s="6" t="s">
        <v>249</v>
      </c>
      <c r="C3" s="6" t="n">
        <v>365</v>
      </c>
      <c r="D3" s="6" t="s">
        <v>250</v>
      </c>
      <c r="E3" s="6" t="s">
        <v>251</v>
      </c>
      <c r="F3" s="7" t="n">
        <v>46287</v>
      </c>
      <c r="G3" s="6"/>
    </row>
    <row r="4" customFormat="false" ht="15" hidden="false" customHeight="true" outlineLevel="0" collapsed="false">
      <c r="A4" s="6" t="s">
        <v>76</v>
      </c>
      <c r="B4" s="6" t="s">
        <v>252</v>
      </c>
      <c r="C4" s="6" t="n">
        <v>415</v>
      </c>
      <c r="D4" s="6" t="s">
        <v>253</v>
      </c>
      <c r="E4" s="6" t="s">
        <v>254</v>
      </c>
      <c r="F4" s="7" t="n">
        <v>46287</v>
      </c>
      <c r="G4" s="6"/>
    </row>
    <row r="5" customFormat="false" ht="15" hidden="false" customHeight="true" outlineLevel="0" collapsed="false">
      <c r="A5" s="6" t="s">
        <v>80</v>
      </c>
      <c r="B5" s="6" t="s">
        <v>255</v>
      </c>
      <c r="C5" s="6" t="n">
        <v>420</v>
      </c>
      <c r="D5" s="6" t="s">
        <v>256</v>
      </c>
      <c r="E5" s="6" t="s">
        <v>257</v>
      </c>
      <c r="F5" s="7" t="n">
        <v>46287</v>
      </c>
      <c r="G5" s="6"/>
    </row>
    <row r="6" customFormat="false" ht="15" hidden="false" customHeight="true" outlineLevel="0" collapsed="false">
      <c r="A6" s="6" t="s">
        <v>258</v>
      </c>
      <c r="B6" s="6" t="s">
        <v>246</v>
      </c>
      <c r="C6" s="6" t="n">
        <v>192</v>
      </c>
      <c r="D6" s="6" t="s">
        <v>259</v>
      </c>
      <c r="E6" s="6" t="s">
        <v>260</v>
      </c>
      <c r="F6" s="7" t="n">
        <v>46288</v>
      </c>
      <c r="G6" s="6"/>
    </row>
    <row r="7" customFormat="false" ht="23.25" hidden="false" customHeight="true" outlineLevel="0" collapsed="false">
      <c r="A7" s="6" t="s">
        <v>261</v>
      </c>
      <c r="B7" s="6" t="s">
        <v>262</v>
      </c>
      <c r="C7" s="6" t="n">
        <v>22802</v>
      </c>
      <c r="D7" s="6" t="s">
        <v>263</v>
      </c>
      <c r="E7" s="6" t="s">
        <v>264</v>
      </c>
      <c r="F7" s="7" t="n">
        <v>46288</v>
      </c>
      <c r="G7" s="6"/>
    </row>
    <row r="8" customFormat="false" ht="15" hidden="false" customHeight="true" outlineLevel="0" collapsed="false">
      <c r="A8" s="6" t="s">
        <v>265</v>
      </c>
      <c r="B8" s="6" t="s">
        <v>266</v>
      </c>
      <c r="C8" s="6" t="n">
        <v>9524</v>
      </c>
      <c r="D8" s="6" t="s">
        <v>267</v>
      </c>
      <c r="E8" s="6" t="s">
        <v>268</v>
      </c>
      <c r="F8" s="7" t="n">
        <v>46288</v>
      </c>
      <c r="G8" s="6"/>
    </row>
    <row r="9" customFormat="false" ht="15" hidden="false" customHeight="true" outlineLevel="0" collapsed="false">
      <c r="A9" s="6" t="s">
        <v>98</v>
      </c>
      <c r="B9" s="6" t="s">
        <v>269</v>
      </c>
      <c r="C9" s="6" t="n">
        <v>13590</v>
      </c>
      <c r="D9" s="6" t="s">
        <v>270</v>
      </c>
      <c r="E9" s="6" t="s">
        <v>271</v>
      </c>
      <c r="F9" s="7" t="n">
        <v>46288</v>
      </c>
      <c r="G9" s="6"/>
    </row>
    <row r="10" customFormat="false" ht="15" hidden="false" customHeight="true" outlineLevel="0" collapsed="false">
      <c r="A10" s="9" t="s">
        <v>228</v>
      </c>
      <c r="B10" s="9" t="s">
        <v>246</v>
      </c>
      <c r="C10" s="9" t="n">
        <v>468785</v>
      </c>
      <c r="D10" s="9" t="s">
        <v>272</v>
      </c>
      <c r="E10" s="9" t="s">
        <v>273</v>
      </c>
      <c r="F10" s="10" t="n">
        <v>46289</v>
      </c>
      <c r="G10" s="9"/>
    </row>
    <row r="11" customFormat="false" ht="15" hidden="false" customHeight="true" outlineLevel="0" collapsed="false">
      <c r="A11" s="9" t="s">
        <v>220</v>
      </c>
      <c r="B11" s="9" t="s">
        <v>262</v>
      </c>
      <c r="C11" s="9" t="n">
        <v>48765</v>
      </c>
      <c r="D11" s="9" t="s">
        <v>274</v>
      </c>
      <c r="E11" s="9" t="s">
        <v>275</v>
      </c>
      <c r="F11" s="10" t="n">
        <v>46289</v>
      </c>
      <c r="G11" s="9"/>
    </row>
    <row r="12" customFormat="false" ht="15" hidden="false" customHeight="true" outlineLevel="0" collapsed="false">
      <c r="A12" s="9" t="s">
        <v>119</v>
      </c>
      <c r="B12" s="9" t="s">
        <v>269</v>
      </c>
      <c r="C12" s="9" t="n">
        <v>9337</v>
      </c>
      <c r="D12" s="9" t="s">
        <v>276</v>
      </c>
      <c r="E12" s="9" t="s">
        <v>277</v>
      </c>
      <c r="F12" s="10" t="n">
        <v>46289</v>
      </c>
      <c r="G12" s="9"/>
    </row>
    <row r="13" customFormat="false" ht="15" hidden="false" customHeight="true" outlineLevel="0" collapsed="false">
      <c r="A13" s="9" t="s">
        <v>124</v>
      </c>
      <c r="B13" s="9" t="s">
        <v>266</v>
      </c>
      <c r="C13" s="9" t="n">
        <v>2868</v>
      </c>
      <c r="D13" s="9" t="s">
        <v>278</v>
      </c>
      <c r="E13" s="9" t="s">
        <v>279</v>
      </c>
      <c r="F13" s="10" t="n">
        <v>46289</v>
      </c>
      <c r="G13" s="9"/>
    </row>
    <row r="14" customFormat="false" ht="23.25" hidden="false" customHeight="true" outlineLevel="0" collapsed="false">
      <c r="A14" s="9" t="s">
        <v>280</v>
      </c>
      <c r="B14" s="9" t="s">
        <v>281</v>
      </c>
      <c r="C14" s="9" t="n">
        <v>141791</v>
      </c>
      <c r="D14" s="9" t="s">
        <v>282</v>
      </c>
      <c r="E14" s="9" t="s">
        <v>283</v>
      </c>
      <c r="F14" s="10" t="n">
        <v>46289</v>
      </c>
      <c r="G14" s="9"/>
    </row>
    <row r="15" customFormat="false" ht="15" hidden="false" customHeight="true" outlineLevel="0" collapsed="false">
      <c r="A15" s="9" t="s">
        <v>140</v>
      </c>
      <c r="B15" s="9" t="s">
        <v>266</v>
      </c>
      <c r="C15" s="9" t="n">
        <v>1416</v>
      </c>
      <c r="D15" s="9" t="s">
        <v>284</v>
      </c>
      <c r="E15" s="9" t="s">
        <v>285</v>
      </c>
      <c r="F15" s="10" t="n">
        <v>46289</v>
      </c>
      <c r="G15" s="9"/>
    </row>
    <row r="16" customFormat="false" ht="15" hidden="false" customHeight="true" outlineLevel="0" collapsed="false">
      <c r="A16" s="9" t="s">
        <v>144</v>
      </c>
      <c r="B16" s="9" t="s">
        <v>269</v>
      </c>
      <c r="C16" s="9" t="n">
        <v>2595</v>
      </c>
      <c r="D16" s="9" t="s">
        <v>286</v>
      </c>
      <c r="E16" s="9" t="s">
        <v>287</v>
      </c>
      <c r="F16" s="10" t="n">
        <v>46289</v>
      </c>
      <c r="G16" s="9"/>
    </row>
    <row r="17" customFormat="false" ht="23.25" hidden="false" customHeight="true" outlineLevel="0" collapsed="false">
      <c r="A17" s="9" t="s">
        <v>288</v>
      </c>
      <c r="B17" s="9" t="s">
        <v>266</v>
      </c>
      <c r="C17" s="9" t="n">
        <v>18407</v>
      </c>
      <c r="D17" s="9" t="s">
        <v>289</v>
      </c>
      <c r="E17" s="9" t="s">
        <v>290</v>
      </c>
      <c r="F17" s="10" t="n">
        <v>46290</v>
      </c>
      <c r="G17" s="9"/>
    </row>
    <row r="18" customFormat="false" ht="15" hidden="false" customHeight="true" outlineLevel="0" collapsed="false">
      <c r="A18" s="9" t="s">
        <v>291</v>
      </c>
      <c r="B18" s="9" t="s">
        <v>262</v>
      </c>
      <c r="C18" s="9" t="n">
        <v>51730</v>
      </c>
      <c r="D18" s="9" t="s">
        <v>292</v>
      </c>
      <c r="E18" s="9" t="s">
        <v>293</v>
      </c>
      <c r="F18" s="10" t="n">
        <v>46290</v>
      </c>
      <c r="G18" s="9"/>
    </row>
    <row r="19" customFormat="false" ht="23.25" hidden="false" customHeight="true" outlineLevel="0" collapsed="false">
      <c r="A19" s="9" t="s">
        <v>294</v>
      </c>
      <c r="B19" s="9" t="s">
        <v>281</v>
      </c>
      <c r="C19" s="9" t="n">
        <v>150866</v>
      </c>
      <c r="D19" s="9" t="s">
        <v>295</v>
      </c>
      <c r="E19" s="9" t="s">
        <v>296</v>
      </c>
      <c r="F19" s="10" t="n">
        <v>46290</v>
      </c>
      <c r="G19" s="9"/>
    </row>
    <row r="20" customFormat="false" ht="23.25" hidden="false" customHeight="true" outlineLevel="0" collapsed="false">
      <c r="A20" s="9" t="s">
        <v>297</v>
      </c>
      <c r="B20" s="9" t="s">
        <v>281</v>
      </c>
      <c r="C20" s="9" t="n">
        <v>227085</v>
      </c>
      <c r="D20" s="9" t="s">
        <v>298</v>
      </c>
      <c r="E20" s="9" t="s">
        <v>299</v>
      </c>
      <c r="F20" s="10" t="n">
        <v>46290</v>
      </c>
      <c r="G20" s="9"/>
    </row>
    <row r="21" customFormat="false" ht="15" hidden="false" customHeight="true" outlineLevel="0" collapsed="false">
      <c r="A21" s="9" t="s">
        <v>300</v>
      </c>
      <c r="B21" s="9" t="s">
        <v>281</v>
      </c>
      <c r="C21" s="9" t="n">
        <v>70321</v>
      </c>
      <c r="D21" s="9" t="s">
        <v>301</v>
      </c>
      <c r="E21" s="9" t="s">
        <v>302</v>
      </c>
      <c r="F21" s="10" t="n">
        <v>46290</v>
      </c>
      <c r="G21" s="9"/>
    </row>
    <row r="22" customFormat="false" ht="23.25" hidden="false" customHeight="true" outlineLevel="0" collapsed="false">
      <c r="A22" s="9" t="s">
        <v>303</v>
      </c>
      <c r="B22" s="9" t="s">
        <v>281</v>
      </c>
      <c r="C22" s="9" t="n">
        <v>440073</v>
      </c>
      <c r="D22" s="9" t="s">
        <v>304</v>
      </c>
      <c r="E22" s="9" t="s">
        <v>305</v>
      </c>
      <c r="F22" s="10" t="n">
        <v>46290</v>
      </c>
      <c r="G22" s="9"/>
    </row>
    <row r="23" customFormat="false" ht="23.25" hidden="false" customHeight="true" outlineLevel="0" collapsed="false">
      <c r="A23" s="9" t="s">
        <v>306</v>
      </c>
      <c r="B23" s="9" t="s">
        <v>281</v>
      </c>
      <c r="C23" s="9" t="n">
        <v>263530</v>
      </c>
      <c r="D23" s="9" t="s">
        <v>307</v>
      </c>
      <c r="E23" s="9" t="s">
        <v>308</v>
      </c>
      <c r="F23" s="10" t="n">
        <v>46290</v>
      </c>
      <c r="G23" s="9"/>
    </row>
    <row r="24" customFormat="false" ht="23.25" hidden="false" customHeight="true" outlineLevel="0" collapsed="false">
      <c r="A24" s="9" t="s">
        <v>309</v>
      </c>
      <c r="B24" s="9" t="s">
        <v>281</v>
      </c>
      <c r="C24" s="9" t="n">
        <v>63054</v>
      </c>
      <c r="D24" s="9" t="s">
        <v>310</v>
      </c>
      <c r="E24" s="9" t="s">
        <v>311</v>
      </c>
      <c r="F24" s="10" t="n">
        <v>46290</v>
      </c>
      <c r="G24" s="9"/>
    </row>
    <row r="25" customFormat="false" ht="23.25" hidden="false" customHeight="true" outlineLevel="0" collapsed="false">
      <c r="A25" s="9" t="s">
        <v>312</v>
      </c>
      <c r="B25" s="9" t="s">
        <v>281</v>
      </c>
      <c r="C25" s="9" t="n">
        <v>373125</v>
      </c>
      <c r="D25" s="9" t="s">
        <v>313</v>
      </c>
      <c r="E25" s="9" t="s">
        <v>314</v>
      </c>
      <c r="F25" s="10" t="n">
        <v>46290</v>
      </c>
      <c r="G25" s="9"/>
    </row>
    <row r="26" customFormat="false" ht="23.25" hidden="false" customHeight="true" outlineLevel="0" collapsed="false">
      <c r="A26" s="9" t="s">
        <v>315</v>
      </c>
      <c r="B26" s="9" t="s">
        <v>281</v>
      </c>
      <c r="C26" s="9" t="n">
        <v>202395</v>
      </c>
      <c r="D26" s="9" t="s">
        <v>316</v>
      </c>
      <c r="E26" s="9" t="s">
        <v>317</v>
      </c>
      <c r="F26" s="10" t="n">
        <v>46290</v>
      </c>
      <c r="G26" s="9"/>
    </row>
    <row r="27" customFormat="false" ht="23.25" hidden="false" customHeight="true" outlineLevel="0" collapsed="false">
      <c r="A27" s="9" t="s">
        <v>318</v>
      </c>
      <c r="B27" s="9" t="s">
        <v>281</v>
      </c>
      <c r="C27" s="9" t="n">
        <v>17992</v>
      </c>
      <c r="D27" s="9" t="s">
        <v>319</v>
      </c>
      <c r="E27" s="9" t="s">
        <v>320</v>
      </c>
      <c r="F27" s="10" t="n">
        <v>46290</v>
      </c>
      <c r="G27" s="9"/>
    </row>
    <row r="28" customFormat="false" ht="23.25" hidden="false" customHeight="true" outlineLevel="0" collapsed="false">
      <c r="A28" s="9" t="s">
        <v>321</v>
      </c>
      <c r="B28" s="9" t="s">
        <v>281</v>
      </c>
      <c r="C28" s="9" t="n">
        <v>108430</v>
      </c>
      <c r="D28" s="9" t="s">
        <v>322</v>
      </c>
      <c r="E28" s="9" t="s">
        <v>323</v>
      </c>
      <c r="F28" s="10" t="n">
        <v>46290</v>
      </c>
      <c r="G28" s="9"/>
    </row>
    <row r="29" customFormat="false" ht="15" hidden="false" customHeight="true" outlineLevel="0" collapsed="false">
      <c r="A29" s="9" t="s">
        <v>177</v>
      </c>
      <c r="B29" s="9" t="s">
        <v>269</v>
      </c>
      <c r="C29" s="9" t="n">
        <v>2667</v>
      </c>
      <c r="D29" s="9" t="s">
        <v>324</v>
      </c>
      <c r="E29" s="9" t="s">
        <v>325</v>
      </c>
      <c r="F29" s="10" t="n">
        <v>46290</v>
      </c>
      <c r="G29" s="9"/>
    </row>
    <row r="30" customFormat="false" ht="23.25" hidden="false" customHeight="true" outlineLevel="0" collapsed="false">
      <c r="A30" s="9" t="s">
        <v>234</v>
      </c>
      <c r="B30" s="9" t="s">
        <v>266</v>
      </c>
      <c r="C30" s="9" t="n">
        <v>19801</v>
      </c>
      <c r="D30" s="9" t="s">
        <v>326</v>
      </c>
      <c r="E30" s="9" t="s">
        <v>327</v>
      </c>
      <c r="F30" s="10" t="n">
        <v>46290</v>
      </c>
      <c r="G30" s="9"/>
    </row>
    <row r="31" customFormat="false" ht="15" hidden="false" customHeight="true" outlineLevel="0" collapsed="false">
      <c r="A31" s="9" t="s">
        <v>328</v>
      </c>
      <c r="B31" s="9" t="s">
        <v>262</v>
      </c>
      <c r="C31" s="9" t="n">
        <v>70580</v>
      </c>
      <c r="D31" s="9" t="s">
        <v>329</v>
      </c>
      <c r="E31" s="9" t="s">
        <v>330</v>
      </c>
      <c r="F31" s="10" t="n">
        <v>46290</v>
      </c>
      <c r="G31" s="9"/>
    </row>
    <row r="32" customFormat="false" ht="15" hidden="false" customHeight="true" outlineLevel="0" collapsed="false">
      <c r="A32" s="9" t="s">
        <v>194</v>
      </c>
      <c r="B32" s="9" t="s">
        <v>269</v>
      </c>
      <c r="C32" s="9" t="n">
        <v>13093</v>
      </c>
      <c r="D32" s="9" t="s">
        <v>331</v>
      </c>
      <c r="E32" s="9" t="s">
        <v>332</v>
      </c>
      <c r="F32" s="10" t="n">
        <v>46290</v>
      </c>
      <c r="G32" s="9"/>
    </row>
    <row r="33" customFormat="false" ht="15" hidden="false" customHeight="false" outlineLevel="0" collapsed="false">
      <c r="A33" s="9" t="s">
        <v>198</v>
      </c>
      <c r="B33" s="9" t="s">
        <v>269</v>
      </c>
      <c r="C33" s="9" t="n">
        <v>2580</v>
      </c>
      <c r="D33" s="9" t="s">
        <v>333</v>
      </c>
      <c r="E33" s="9" t="s">
        <v>334</v>
      </c>
      <c r="F33" s="10" t="n">
        <v>46290</v>
      </c>
      <c r="G33" s="9"/>
    </row>
  </sheetData>
  <autoFilter ref="A1:G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2"/>
    <col collapsed="false" customWidth="true" hidden="false" outlineLevel="0" max="3" min="3" style="1" width="10"/>
    <col collapsed="false" customWidth="true" hidden="false" outlineLevel="0" max="4" min="4" style="1" width="16"/>
    <col collapsed="false" customWidth="true" hidden="false" outlineLevel="0" max="5" min="5" style="1" width="44"/>
    <col collapsed="false" customWidth="true" hidden="false" outlineLevel="0" max="6" min="6" style="1" width="10"/>
    <col collapsed="false" customWidth="true" hidden="false" outlineLevel="0" max="7" min="7" style="1" width="40"/>
    <col collapsed="false" customWidth="true" hidden="false" outlineLevel="0" max="8" min="8" style="1" width="20"/>
    <col collapsed="false" customWidth="true" hidden="false" outlineLevel="0" max="9" min="9" style="1" width="14"/>
    <col collapsed="false" customWidth="true" hidden="false" outlineLevel="0" max="10" min="10" style="1" width="22"/>
    <col collapsed="false" customWidth="true" hidden="false" outlineLevel="0" max="11" min="11" style="1" width="34"/>
    <col collapsed="false" customWidth="true" hidden="false" outlineLevel="0" max="12" min="12" style="1" width="18"/>
    <col collapsed="false" customWidth="true" hidden="false" outlineLevel="0" max="13" min="13" style="1" width="8"/>
    <col collapsed="false" customWidth="true" hidden="false" outlineLevel="0" max="14" min="14" style="1" width="9"/>
    <col collapsed="false" customWidth="true" hidden="false" outlineLevel="0" max="15" min="15" style="1" width="8"/>
    <col collapsed="false" customWidth="true" hidden="false" outlineLevel="0" max="16" min="16" style="1" width="14"/>
    <col collapsed="false" customWidth="true" hidden="false" outlineLevel="0" max="17" min="17" style="1" width="10"/>
    <col collapsed="false" customWidth="true" hidden="false" outlineLevel="0" max="18" min="18" style="1" width="28"/>
    <col collapsed="false" customWidth="true" hidden="false" outlineLevel="0" max="19" min="19" style="1" width="14"/>
    <col collapsed="false" customWidth="true" hidden="false" outlineLevel="0" max="21" min="20" style="1" width="13"/>
    <col collapsed="false" customWidth="true" hidden="false" outlineLevel="0" max="22" min="22" style="1" width="18"/>
    <col collapsed="false" customWidth="true" hidden="false" outlineLevel="0" max="23" min="23" style="1" width="14"/>
    <col collapsed="false" customWidth="true" hidden="false" outlineLevel="0" max="24" min="24" style="1" width="20"/>
    <col collapsed="false" customWidth="true" hidden="false" outlineLevel="0" max="25" min="25" style="1" width="34"/>
    <col collapsed="false" customWidth="true" hidden="false" outlineLevel="0" max="26" min="26" style="1" width="44"/>
    <col collapsed="false" customWidth="true" hidden="false" outlineLevel="0" max="27" min="27" style="1" width="12"/>
    <col collapsed="false" customWidth="true" hidden="false" outlineLevel="0" max="28" min="28" style="1" width="16"/>
  </cols>
  <sheetData>
    <row r="1" customFormat="false" ht="31.5" hidden="false" customHeight="true" outlineLevel="0" collapsed="false">
      <c r="A1" s="5" t="s">
        <v>335</v>
      </c>
      <c r="B1" s="5" t="s">
        <v>202</v>
      </c>
      <c r="C1" s="5" t="s">
        <v>336</v>
      </c>
      <c r="D1" s="5" t="s">
        <v>5</v>
      </c>
      <c r="E1" s="5" t="s">
        <v>337</v>
      </c>
      <c r="F1" s="5" t="s">
        <v>338</v>
      </c>
      <c r="G1" s="5" t="s">
        <v>339</v>
      </c>
      <c r="H1" s="5" t="s">
        <v>340</v>
      </c>
      <c r="I1" s="5" t="s">
        <v>341</v>
      </c>
      <c r="J1" s="5" t="s">
        <v>342</v>
      </c>
      <c r="K1" s="5" t="s">
        <v>343</v>
      </c>
      <c r="L1" s="5" t="s">
        <v>344</v>
      </c>
      <c r="M1" s="5" t="s">
        <v>345</v>
      </c>
      <c r="N1" s="5" t="s">
        <v>346</v>
      </c>
      <c r="O1" s="5" t="s">
        <v>347</v>
      </c>
      <c r="P1" s="5" t="s">
        <v>348</v>
      </c>
      <c r="Q1" s="5" t="s">
        <v>349</v>
      </c>
      <c r="R1" s="5" t="s">
        <v>350</v>
      </c>
      <c r="S1" s="5" t="s">
        <v>351</v>
      </c>
      <c r="T1" s="5" t="s">
        <v>352</v>
      </c>
      <c r="U1" s="5" t="s">
        <v>353</v>
      </c>
      <c r="V1" s="5" t="s">
        <v>354</v>
      </c>
      <c r="W1" s="5" t="s">
        <v>355</v>
      </c>
      <c r="X1" s="5" t="s">
        <v>356</v>
      </c>
      <c r="Y1" s="5" t="s">
        <v>357</v>
      </c>
      <c r="Z1" s="5" t="s">
        <v>358</v>
      </c>
      <c r="AA1" s="5" t="s">
        <v>11</v>
      </c>
      <c r="AB1" s="5" t="s">
        <v>208</v>
      </c>
    </row>
  </sheetData>
  <autoFilter ref="A1:AB1"/>
  <dataValidations count="1">
    <dataValidation allowBlank="true" errorStyle="stop" operator="between" showDropDown="false" showErrorMessage="false" showInputMessage="false" sqref="AA2:AA1001" type="list">
      <formula1>"Planned,Running,Done,Failed,Abandoned"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2" min="2" style="1" width="14"/>
    <col collapsed="false" customWidth="true" hidden="false" outlineLevel="0" max="4" min="4" style="1" width="24"/>
  </cols>
  <sheetData>
    <row r="1" customFormat="false" ht="15" hidden="false" customHeight="true" outlineLevel="0" collapsed="false">
      <c r="A1" s="2" t="s">
        <v>359</v>
      </c>
      <c r="B1" s="13"/>
      <c r="C1" s="13"/>
      <c r="D1" s="13"/>
      <c r="E1" s="13"/>
    </row>
    <row r="2" customFormat="false" ht="15" hidden="false" customHeight="true" outlineLevel="0" collapsed="false">
      <c r="A2" s="13"/>
      <c r="B2" s="13"/>
      <c r="C2" s="13"/>
      <c r="D2" s="13"/>
      <c r="E2" s="13"/>
    </row>
    <row r="3" customFormat="false" ht="15" hidden="false" customHeight="true" outlineLevel="0" collapsed="false">
      <c r="A3" s="13" t="s">
        <v>360</v>
      </c>
      <c r="B3" s="13" t="n">
        <f aca="false">COUNTA(Change_Log!A2:A5000)</f>
        <v>38</v>
      </c>
      <c r="C3" s="13"/>
      <c r="D3" s="13" t="s">
        <v>361</v>
      </c>
      <c r="E3" s="13" t="n">
        <f aca="false">COUNTA(Experiments!A2:A5000)</f>
        <v>0</v>
      </c>
    </row>
    <row r="4" customFormat="false" ht="15" hidden="false" customHeight="true" outlineLevel="0" collapsed="false">
      <c r="A4" s="13" t="s">
        <v>362</v>
      </c>
      <c r="B4" s="13" t="n">
        <f aca="false">COUNTA(Findings!A2:A5000)</f>
        <v>5</v>
      </c>
      <c r="C4" s="13"/>
      <c r="D4" s="13" t="s">
        <v>363</v>
      </c>
      <c r="E4" s="13" t="n">
        <f aca="false">COUNTIF(Experiments!AA2:AA5000,"Done")</f>
        <v>0</v>
      </c>
    </row>
    <row r="5" customFormat="false" ht="15" hidden="false" customHeight="true" outlineLevel="0" collapsed="false">
      <c r="A5" s="13" t="s">
        <v>364</v>
      </c>
      <c r="B5" s="13" t="n">
        <f aca="false">COUNTIF(Findings!K2:K5000,"Open")</f>
        <v>2</v>
      </c>
      <c r="C5" s="13"/>
      <c r="D5" s="13" t="s">
        <v>365</v>
      </c>
      <c r="E5" s="13" t="n">
        <f aca="false">COUNTIF(Experiments!AA2:AA5000,"Failed")</f>
        <v>0</v>
      </c>
    </row>
    <row r="6" customFormat="false" ht="15" hidden="false" customHeight="true" outlineLevel="0" collapsed="false">
      <c r="A6" s="13"/>
      <c r="B6" s="13"/>
      <c r="C6" s="13"/>
      <c r="D6" s="13"/>
      <c r="E6" s="13"/>
    </row>
    <row r="7" customFormat="false" ht="15" hidden="false" customHeight="true" outlineLevel="0" collapsed="false">
      <c r="A7" s="14" t="s">
        <v>366</v>
      </c>
      <c r="B7" s="13"/>
      <c r="C7" s="13"/>
      <c r="D7" s="13"/>
      <c r="E7" s="13"/>
    </row>
    <row r="8" customFormat="false" ht="15" hidden="false" customHeight="true" outlineLevel="0" collapsed="false">
      <c r="A8" s="13" t="s">
        <v>367</v>
      </c>
      <c r="B8" s="13" t="n">
        <f aca="false">COUNTIF(Change_Log!I2:I5000,A8)</f>
        <v>0</v>
      </c>
      <c r="C8" s="13"/>
      <c r="D8" s="13"/>
      <c r="E8" s="13"/>
    </row>
    <row r="9" customFormat="false" ht="15" hidden="false" customHeight="true" outlineLevel="0" collapsed="false">
      <c r="A9" s="13" t="s">
        <v>368</v>
      </c>
      <c r="B9" s="13" t="n">
        <f aca="false">COUNTIF(Change_Log!I2:I5000,A9)</f>
        <v>0</v>
      </c>
      <c r="C9" s="13"/>
      <c r="D9" s="13"/>
      <c r="E9" s="13"/>
    </row>
    <row r="10" customFormat="false" ht="15" hidden="false" customHeight="true" outlineLevel="0" collapsed="false">
      <c r="A10" s="13" t="s">
        <v>45</v>
      </c>
      <c r="B10" s="13" t="n">
        <f aca="false">COUNTIF(Change_Log!I2:I5000,A10)</f>
        <v>15</v>
      </c>
      <c r="C10" s="13"/>
      <c r="D10" s="13"/>
      <c r="E10" s="13"/>
    </row>
    <row r="11" customFormat="false" ht="15" hidden="false" customHeight="true" outlineLevel="0" collapsed="false">
      <c r="A11" s="13" t="s">
        <v>187</v>
      </c>
      <c r="B11" s="13" t="n">
        <f aca="false">COUNTIF(Change_Log!I2:I5000,A11)</f>
        <v>1</v>
      </c>
      <c r="C11" s="13"/>
      <c r="D11" s="13"/>
      <c r="E11" s="13"/>
    </row>
    <row r="12" customFormat="false" ht="15" hidden="false" customHeight="true" outlineLevel="0" collapsed="false">
      <c r="A12" s="13" t="s">
        <v>88</v>
      </c>
      <c r="B12" s="13" t="n">
        <f aca="false">COUNTIF(Change_Log!I2:I5000,A12)</f>
        <v>4</v>
      </c>
      <c r="C12" s="13"/>
      <c r="D12" s="13"/>
      <c r="E12" s="13"/>
    </row>
    <row r="13" customFormat="false" ht="15" hidden="false" customHeight="true" outlineLevel="0" collapsed="false">
      <c r="A13" s="13" t="s">
        <v>369</v>
      </c>
      <c r="B13" s="13" t="n">
        <f aca="false">COUNTIF(Change_Log!I2:I5000,A13)</f>
        <v>0</v>
      </c>
      <c r="C13" s="13"/>
      <c r="D13" s="13"/>
      <c r="E13" s="13"/>
    </row>
    <row r="14" customFormat="false" ht="15" hidden="false" customHeight="true" outlineLevel="0" collapsed="false">
      <c r="A14" s="13" t="s">
        <v>92</v>
      </c>
      <c r="B14" s="13" t="n">
        <f aca="false">COUNTIF(Change_Log!I2:I5000,A14)</f>
        <v>6</v>
      </c>
      <c r="C14" s="13"/>
      <c r="D14" s="13"/>
      <c r="E14" s="13"/>
    </row>
    <row r="15" customFormat="false" ht="15" hidden="false" customHeight="true" outlineLevel="0" collapsed="false">
      <c r="A15" s="13" t="s">
        <v>147</v>
      </c>
      <c r="B15" s="13" t="n">
        <f aca="false">COUNTIF(Change_Log!I2:I5000,A15)</f>
        <v>1</v>
      </c>
      <c r="C15" s="13"/>
      <c r="D15" s="13"/>
      <c r="E15" s="13"/>
    </row>
    <row r="16" customFormat="false" ht="15" hidden="false" customHeight="true" outlineLevel="0" collapsed="false">
      <c r="A16" s="13" t="s">
        <v>61</v>
      </c>
      <c r="B16" s="13" t="n">
        <f aca="false">COUNTIF(Change_Log!I2:I5000,A16)</f>
        <v>6</v>
      </c>
      <c r="C16" s="13"/>
      <c r="D16" s="13"/>
      <c r="E16" s="13"/>
    </row>
    <row r="17" customFormat="false" ht="15" hidden="false" customHeight="true" outlineLevel="0" collapsed="false">
      <c r="A17" s="13" t="s">
        <v>128</v>
      </c>
      <c r="B17" s="13" t="n">
        <f aca="false">COUNTIF(Change_Log!I2:I5000,A17)</f>
        <v>5</v>
      </c>
      <c r="C17" s="13"/>
      <c r="D17" s="13"/>
      <c r="E17" s="13"/>
    </row>
    <row r="18" customFormat="false" ht="15" hidden="false" customHeight="true" outlineLevel="0" collapsed="false">
      <c r="A18" s="13"/>
      <c r="B18" s="13"/>
      <c r="C18" s="13"/>
      <c r="D18" s="13"/>
      <c r="E18" s="13"/>
    </row>
    <row r="19" customFormat="false" ht="15" hidden="false" customHeight="true" outlineLevel="0" collapsed="false">
      <c r="A19" s="14" t="s">
        <v>370</v>
      </c>
      <c r="B19" s="13"/>
      <c r="C19" s="13"/>
      <c r="D19" s="13"/>
      <c r="E19" s="13"/>
    </row>
    <row r="20" customFormat="false" ht="15" hidden="false" customHeight="true" outlineLevel="0" collapsed="false">
      <c r="A20" s="13" t="s">
        <v>52</v>
      </c>
      <c r="B20" s="13" t="n">
        <f aca="false">COUNTIF(Change_Log!S2:S5000,A20)</f>
        <v>38</v>
      </c>
      <c r="C20" s="13"/>
      <c r="D20" s="13"/>
      <c r="E20" s="13"/>
    </row>
    <row r="21" customFormat="false" ht="15" hidden="false" customHeight="true" outlineLevel="0" collapsed="false">
      <c r="A21" s="13" t="s">
        <v>216</v>
      </c>
      <c r="B21" s="13" t="n">
        <f aca="false">COUNTIF(Change_Log!S2:S5000,A21)</f>
        <v>0</v>
      </c>
      <c r="C21" s="13"/>
      <c r="D21" s="13"/>
      <c r="E21" s="13"/>
    </row>
    <row r="22" customFormat="false" ht="15" hidden="false" customHeight="true" outlineLevel="0" collapsed="false">
      <c r="A22" s="13" t="s">
        <v>371</v>
      </c>
      <c r="B22" s="13" t="n">
        <f aca="false">COUNTIF(Change_Log!S2:S5000,A22)</f>
        <v>0</v>
      </c>
      <c r="C22" s="13"/>
      <c r="D22" s="13"/>
      <c r="E22" s="13"/>
    </row>
    <row r="23" customFormat="false" ht="15" hidden="false" customHeight="true" outlineLevel="0" collapsed="false">
      <c r="A23" s="13" t="s">
        <v>372</v>
      </c>
      <c r="B23" s="13" t="n">
        <f aca="false">COUNTIF(Change_Log!S2:S5000,A23)</f>
        <v>0</v>
      </c>
      <c r="C23" s="13"/>
      <c r="D23" s="13"/>
      <c r="E23" s="13"/>
    </row>
    <row r="24" customFormat="false" ht="15" hidden="false" customHeight="true" outlineLevel="0" collapsed="false">
      <c r="A24" s="13" t="s">
        <v>224</v>
      </c>
      <c r="B24" s="13" t="n">
        <f aca="false">COUNTIF(Change_Log!S2:S5000,A24)</f>
        <v>0</v>
      </c>
      <c r="C24" s="13"/>
      <c r="D24" s="13"/>
      <c r="E24" s="13"/>
    </row>
    <row r="25" customFormat="false" ht="15" hidden="false" customHeight="true" outlineLevel="0" collapsed="false">
      <c r="A25" s="13"/>
      <c r="B25" s="13"/>
      <c r="C25" s="13"/>
      <c r="D25" s="13"/>
      <c r="E25" s="13"/>
    </row>
    <row r="26" customFormat="false" ht="15" hidden="false" customHeight="true" outlineLevel="0" collapsed="false">
      <c r="A26" s="14" t="s">
        <v>373</v>
      </c>
      <c r="B26" s="13"/>
      <c r="C26" s="13"/>
      <c r="D26" s="13"/>
      <c r="E26" s="13"/>
    </row>
    <row r="27" customFormat="false" ht="15" hidden="false" customHeight="true" outlineLevel="0" collapsed="false">
      <c r="A27" s="13" t="s">
        <v>51</v>
      </c>
      <c r="B27" s="13" t="n">
        <f aca="false">COUNTIF(Change_Log!R2:R5000,A27)</f>
        <v>38</v>
      </c>
      <c r="C27" s="13"/>
      <c r="D27" s="13"/>
      <c r="E27" s="13"/>
    </row>
    <row r="28" customFormat="false" ht="15" hidden="false" customHeight="true" outlineLevel="0" collapsed="false">
      <c r="A28" s="13" t="s">
        <v>218</v>
      </c>
      <c r="B28" s="13" t="n">
        <f aca="false">COUNTIF(Change_Log!R2:R5000,A28)</f>
        <v>0</v>
      </c>
      <c r="C28" s="13"/>
      <c r="D28" s="13"/>
      <c r="E28" s="13"/>
    </row>
    <row r="29" customFormat="false" ht="15" hidden="false" customHeight="true" outlineLevel="0" collapsed="false">
      <c r="A29" s="13" t="s">
        <v>210</v>
      </c>
      <c r="B29" s="13" t="n">
        <f aca="false">COUNTIF(Change_Log!R2:R5000,A29)</f>
        <v>0</v>
      </c>
      <c r="C29" s="13"/>
      <c r="D29" s="13"/>
      <c r="E29" s="13"/>
    </row>
    <row r="30" customFormat="false" ht="15" hidden="false" customHeight="true" outlineLevel="0" collapsed="false">
      <c r="A30" s="13" t="s">
        <v>226</v>
      </c>
      <c r="B30" s="13" t="n">
        <f aca="false">COUNTIF(Change_Log!R2:R5000,A30)</f>
        <v>0</v>
      </c>
      <c r="C30" s="13"/>
      <c r="D30" s="13"/>
      <c r="E30" s="13"/>
    </row>
    <row r="31" customFormat="false" ht="15" hidden="false" customHeight="true" outlineLevel="0" collapsed="false">
      <c r="A31" s="13" t="s">
        <v>374</v>
      </c>
      <c r="B31" s="13" t="n">
        <f aca="false">COUNTIF(Change_Log!R2:R5000,A31)</f>
        <v>0</v>
      </c>
      <c r="C31" s="13"/>
      <c r="D31" s="13"/>
      <c r="E31" s="1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2026-09-22T04:47:32Z</dcterms:created>
  <dc:creator>openpyxl</dc:creator>
  <dc:description/>
  <dc:language>en-US</dc:language>
  <cp:lastModifiedBy/>
  <dcterms:modified xsi:type="dcterms:W3CDTF">2026-09-25T12:01:33Z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