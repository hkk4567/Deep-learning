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Change_Log" sheetId="2" state="visible" r:id="rId4"/>
    <sheet name="Findings" sheetId="3" state="visible" r:id="rId5"/>
    <sheet name="File_Registry" sheetId="4" state="visible" r:id="rId6"/>
    <sheet name="Experiments" sheetId="5" state="visible" r:id="rId7"/>
    <sheet name="Summary" sheetId="6" state="visible" r:id="rId8"/>
  </sheets>
  <definedNames>
    <definedName function="false" hidden="true" localSheetId="1" name="_xlnm._FilterDatabase" vbProcedure="false">Change_Log!$A$1:$X$1</definedName>
    <definedName function="false" hidden="true" localSheetId="4" name="_xlnm._FilterDatabase" vbProcedure="false">Experiments!$A$1:$AB$1</definedName>
    <definedName function="false" hidden="true" localSheetId="3" name="_xlnm._FilterDatabase" vbProcedure="false">File_Registry!$A$1:$G$1</definedName>
    <definedName function="false" hidden="true" localSheetId="2" name="_xlnm._FilterDatabase" vbProcedure="false">Findings!$A$1:$L$1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<sst xmlns="http://schemas.openxmlformats.org/spreadsheetml/2006/main" count="1447" uniqueCount="616">
  <si>
    <t xml:space="preserve">change_log.xlsx - Nhật ký thay đổi dự án ML</t>
  </si>
  <si>
    <t xml:space="preserve">Quy ước</t>
  </si>
  <si>
    <t xml:space="preserve">Chỉ THÊM dòng (append-only). Không sửa/xóa dòng cũ; muốn đính chính thì thêm dòng mới và điền Liên_quan_Log_ID.</t>
  </si>
  <si>
    <t xml:space="preserve">Loại_hành_động</t>
  </si>
  <si>
    <t xml:space="preserve">EXPLORE đọc/khám phá | DISCOVER phát hiện mới | CREATE tạo file | MODIFY sửa | FIX sửa lỗi | DELETE xóa | RUN chạy code/lệnh | VERIFY kiểm chứng | DECISION quyết định (thường do người dùng) | NOTE ghi chú</t>
  </si>
  <si>
    <t xml:space="preserve">Người_thực_hiện</t>
  </si>
  <si>
    <t xml:space="preserve">Ai thực hiện hành động: 'Claude' hoặc tên người dùng/người khác.</t>
  </si>
  <si>
    <t xml:space="preserve">Yêu_cầu_bởi</t>
  </si>
  <si>
    <t xml:space="preserve">Ai yêu cầu/quyết định hành động (vd tên người dùng).</t>
  </si>
  <si>
    <t xml:space="preserve">Mức_độ</t>
  </si>
  <si>
    <t xml:space="preserve">Info &lt; Low &lt; Medium &lt; High &lt; Critical.</t>
  </si>
  <si>
    <t xml:space="preserve">Trạng_thái</t>
  </si>
  <si>
    <t xml:space="preserve">Done | Open | Needs-confirmation | Reverted | Wontfix.</t>
  </si>
  <si>
    <t xml:space="preserve">Trước/Sau</t>
  </si>
  <si>
    <t xml:space="preserve">Giá trị, dòng code hoặc hash trước và sau khi thay đổi.</t>
  </si>
  <si>
    <t xml:space="preserve">Múi_giờ</t>
  </si>
  <si>
    <t xml:space="preserve">Mặc định Asia/Ho_Chi_Minh (đổi bằng biến môi trường LOG_TZ).</t>
  </si>
  <si>
    <t xml:space="preserve">Experiments</t>
  </si>
  <si>
    <t xml:space="preserve">Mỗi thí nghiệm DL một dòng: Exp_ID, config + hash, seed, metric train/val, checkpoint. Test_metric chỉ điền cho mô hình cuối (test set dùng đúng một lần).</t>
  </si>
  <si>
    <t xml:space="preserve">Summary</t>
  </si>
  <si>
    <t xml:space="preserve">Thống kê bằng công thức; chạy recalc.py sau khi ghi xong để có giá trị cache.</t>
  </si>
  <si>
    <t xml:space="preserve">Log_ID</t>
  </si>
  <si>
    <t xml:space="preserve">Ngày (dd/mm/yyyy)</t>
  </si>
  <si>
    <t xml:space="preserve">Giờ (hh:mm:ss)</t>
  </si>
  <si>
    <t xml:space="preserve">Session_ID</t>
  </si>
  <si>
    <t xml:space="preserve">Loại_actor</t>
  </si>
  <si>
    <t xml:space="preserve">Bước_pipeline</t>
  </si>
  <si>
    <t xml:space="preserve">Tên_file</t>
  </si>
  <si>
    <t xml:space="preserve">Đường_dẫn</t>
  </si>
  <si>
    <t xml:space="preserve">Vị_trí (dòng/cell/hàm)</t>
  </si>
  <si>
    <t xml:space="preserve">Nội_dung</t>
  </si>
  <si>
    <t xml:space="preserve">Lý_do</t>
  </si>
  <si>
    <t xml:space="preserve">Trước</t>
  </si>
  <si>
    <t xml:space="preserve">Sau</t>
  </si>
  <si>
    <t xml:space="preserve">Cách_kiểm_chứng</t>
  </si>
  <si>
    <t xml:space="preserve">Liên_quan_Log_ID</t>
  </si>
  <si>
    <t xml:space="preserve">Đường_dẫn_backup</t>
  </si>
  <si>
    <t xml:space="preserve">Lệnh_Công_cụ</t>
  </si>
  <si>
    <t xml:space="preserve">Ghi_chú</t>
  </si>
  <si>
    <t xml:space="preserve">LOG-0001</t>
  </si>
  <si>
    <t xml:space="preserve">Asia/Ho_Chi_Minh</t>
  </si>
  <si>
    <t xml:space="preserve">S-20260922</t>
  </si>
  <si>
    <t xml:space="preserve">Claude</t>
  </si>
  <si>
    <t xml:space="preserve">AI</t>
  </si>
  <si>
    <t xml:space="preserve">Kazana</t>
  </si>
  <si>
    <t xml:space="preserve">CREATE</t>
  </si>
  <si>
    <t xml:space="preserve">P0 Khởi tạo</t>
  </si>
  <si>
    <t xml:space="preserve">house_price_ml</t>
  </si>
  <si>
    <t xml:space="preserve">.</t>
  </si>
  <si>
    <t xml:space="preserve">Tạo khung dự án 'house_price_ml' (11 thư mục) + 04_configs/base.yaml, README.md, .gitignore, requirements.txt</t>
  </si>
  <si>
    <t xml:space="preserve">Khung thư mục chuẩn của skill dl-project-from-raw-data</t>
  </si>
  <si>
    <t xml:space="preserve">Info</t>
  </si>
  <si>
    <t xml:space="preserve">Done</t>
  </si>
  <si>
    <t xml:space="preserve">scripts/scaffold_project.py</t>
  </si>
  <si>
    <t xml:space="preserve">LOG-0002</t>
  </si>
  <si>
    <t xml:space="preserve">P1 Nhập dữ liệu</t>
  </si>
  <si>
    <t xml:space="preserve">train.csv</t>
  </si>
  <si>
    <t xml:space="preserve">00_raw</t>
  </si>
  <si>
    <t xml:space="preserve">Nhập dataset thô vào 00_raw (sao chép 1 file); đặt 1 file ở chế độ chỉ-đọc</t>
  </si>
  <si>
    <t xml:space="preserve">Dữ liệu gốc bất biến; mọi xử lý ghi sang 01_data/</t>
  </si>
  <si>
    <t xml:space="preserve">LOG-0003</t>
  </si>
  <si>
    <t xml:space="preserve">DECISION</t>
  </si>
  <si>
    <t xml:space="preserve">Mục tiêu: dự đoán SalePrice (hồi quy) từ dữ liệu bảng Ames Housing. Mục đích: đồ án học tập. Mô hình: pipeline ML (scikit-learn/XGBoost), KHÔNG dùng Deep Learning theo yêu cầu người dùng.</t>
  </si>
  <si>
    <t xml:space="preserve">Người dùng xác nhận qua câu hỏi P0</t>
  </si>
  <si>
    <t xml:space="preserve">LOG-0004</t>
  </si>
  <si>
    <t xml:space="preserve">Metric chính: RMSLE (RMSE trên log1p(SalePrice)), chuẩn Kaggle House Prices. Metric phụ: MAE ($), R².</t>
  </si>
  <si>
    <t xml:space="preserve">Người dùng chọn RMSLE/log-RMSE</t>
  </si>
  <si>
    <t xml:space="preserve">LOG-0005</t>
  </si>
  <si>
    <t xml:space="preserve">Ràng buộc môi trường: CPU i5-12400F, GPU RTX5060 có sẵn. Vì đây là mô hình ML trên dữ liệu bảng (không DL) nên không cần GPU; dự báo chạy dưới 5 phút trên CPU.</t>
  </si>
  <si>
    <t xml:space="preserve">Người dùng cung cấp thông số máy</t>
  </si>
  <si>
    <t xml:space="preserve">LOG-0006</t>
  </si>
  <si>
    <t xml:space="preserve">P0 Môi trường</t>
  </si>
  <si>
    <t xml:space="preserve">requirements.txt</t>
  </si>
  <si>
    <t xml:space="preserve">Pin dependencies cho pipeline ML (không DL): pandas, numpy, scikit-learn, xgboost, matplotlib, joblib, PyYAML, openpyxl</t>
  </si>
  <si>
    <t xml:space="preserve">pip install -r requirements.txt trong venv mới -&gt; thành công; import sklearn(1.8.0), xgboost(3.4.1) OK</t>
  </si>
  <si>
    <t xml:space="preserve">LOG-0007</t>
  </si>
  <si>
    <t xml:space="preserve">setup_env.sh</t>
  </si>
  <si>
    <t xml:space="preserve">Script tạo venv + cài dependencies (Linux/macOS)</t>
  </si>
  <si>
    <t xml:space="preserve">Chạy thử trong sandbox: venv tạo thành công, cài package OK, import test pass</t>
  </si>
  <si>
    <t xml:space="preserve">LOG-0008</t>
  </si>
  <si>
    <t xml:space="preserve">setup_env.bat</t>
  </si>
  <si>
    <t xml:space="preserve">Script tạo venv + cài dependencies (Windows) - chưa chạy thử vì sandbox là Linux</t>
  </si>
  <si>
    <t xml:space="preserve">LOG-0009</t>
  </si>
  <si>
    <t xml:space="preserve">Huỳnh Kiện Khải</t>
  </si>
  <si>
    <t xml:space="preserve">P0 Cập nhật thông tin</t>
  </si>
  <si>
    <t xml:space="preserve">Người dùng cung cấp tên thật: Huỳnh Kiện Khải (tên tài khoản trước đó ghi là Kazana). Từ đây về sau dùng tên thật trong các dòng log mới.</t>
  </si>
  <si>
    <t xml:space="preserve">Người dùng yêu cầu trước khi vào P1</t>
  </si>
  <si>
    <t xml:space="preserve">LOG-0010</t>
  </si>
  <si>
    <t xml:space="preserve">FIX</t>
  </si>
  <si>
    <t xml:space="preserve">README.md: bổ sung tên người thực hiện dự án là Huỳnh Kiện Khải</t>
  </si>
  <si>
    <t xml:space="preserve">LOG-0011</t>
  </si>
  <si>
    <t xml:space="preserve">S-20260923</t>
  </si>
  <si>
    <t xml:space="preserve">RUN</t>
  </si>
  <si>
    <t xml:space="preserve">P1 Kiểm toán dữ liệu</t>
  </si>
  <si>
    <t xml:space="preserve">Chạy audit_dataset.py trên 00_raw/train.csv (--label-col SalePrice)</t>
  </si>
  <si>
    <t xml:space="preserve">1 file, 0 lỗi hỏng, 0 dòng trùng, 0 nhóm trùng nội dung. 19 cột có missing (PoolQC 1453/1460, MiscFeature 1406, Alley 1369, Fence 1179, FireplaceQu 690...). SalePrice là hồi quy liên tục nên phân bố nhãn trong report chỉ mang tính tham khảo.</t>
  </si>
  <si>
    <t xml:space="preserve">LOG-0012</t>
  </si>
  <si>
    <t xml:space="preserve">audit_dataset.py</t>
  </si>
  <si>
    <t xml:space="preserve">03_src/scripts/audit_dataset.py</t>
  </si>
  <si>
    <t xml:space="preserve">Copy script audit_dataset.py (từ skill) vào dự án để người dùng tự chạy lại được, không phụ thuộc môi trường sandbox</t>
  </si>
  <si>
    <t xml:space="preserve">LOG-0013</t>
  </si>
  <si>
    <t xml:space="preserve">P1 Chỉnh định dạng log</t>
  </si>
  <si>
    <t xml:space="preserve">Áp dụng font Times New Roman cho toàn bộ file change_log.xlsx (mọi sheet: README, Change_Log, Findings, File_Registry, Experiments, Summary). Không thay đổi nội dung các dòng cũ.</t>
  </si>
  <si>
    <t xml:space="preserve">Người dùng yêu cầu dùng font Times New Roman và ghi tiếng Việt đầy đủ có dấu</t>
  </si>
  <si>
    <t xml:space="preserve">Các dòng log trước đó (LOG-0001 đến LOG-0012, FND-0001) được ghi không dấu theo quy ước ví dụ của skill; log là append-only nên không sửa nội dung các dòng cũ đó. Từ dòng này trở đi, mọi mô tả mới sẽ dùng tiếng Việt có dấu đầy đủ.</t>
  </si>
  <si>
    <t xml:space="preserve">LOG-0014</t>
  </si>
  <si>
    <t xml:space="preserve">Ngoại lệ: đã chỉnh sửa trực tiếp nội dung các dòng LOG-0003..LOG-0012 và FND-0001 để thêm dấu tiếng Việt đầy đủ (không đổi ý nghĩa/số liệu, chỉ thêm dấu).</t>
  </si>
  <si>
    <t xml:space="preserve">Người dùng yêu cầu tường minh: 'chỉ riêng lần này' được sửa lại log vì tiếng Việt không dấu gây khó hiểu, dù quy tắc mặc định của skill là append-only (không sửa dòng cũ).</t>
  </si>
  <si>
    <t xml:space="preserve">LOG-0003,LOG-0004,LOG-0005,LOG-0006,LOG-0007,LOG-0008,LOG-0009,LOG-0010,LOG-0011,LOG-0012,FND-0001</t>
  </si>
  <si>
    <t xml:space="preserve">LOG-0015</t>
  </si>
  <si>
    <t xml:space="preserve">Sửa skill dl-project-from-raw-data: SKILL.md và references/log_schema.md bổ sung quy ước bắt buộc ghi log bằng tiếng Việt có dấu đầy đủ; scripts/log_change.py sửa các dòng README_ROWS (Loại_hành_động, Người_thực_hiện, Yêu_cầu_bởi, Múi_giờ) từ không dấu sang có dấu. Đồng thời cập nhật sheet README của change_log.xlsx trong dự án này cho khớp.</t>
  </si>
  <si>
    <t xml:space="preserve">Người dùng yêu cầu sửa skill để log luôn ghi tiếng Việt có dấu, áp dụng cho các dự án sau này</t>
  </si>
  <si>
    <t xml:space="preserve">LOG-0016</t>
  </si>
  <si>
    <t xml:space="preserve">S-20260924</t>
  </si>
  <si>
    <t xml:space="preserve">P2 Chia train/val/test</t>
  </si>
  <si>
    <t xml:space="preserve">Chạy make_splits.py trên 00_raw/train.csv (--id-col Id --label-col SalePrice --val 0.15 --test 0.15 --seed 42 --version v1)</t>
  </si>
  <si>
    <t xml:space="preserve">SalePrice là biến liên tục với gần như mọi giá trị là duy nhất nên stratify theo đúng giá trị thất bại (script tự động cảnh báo và chuyển sang chia ngẫu nhiên). Kết quả: train=1022, val=219, test=219 (~70/15/15). Kiểm chứng tự động: PASSED (không Id nào nằm ở &gt;1 split, không nhóm/sha256 xuyên split).</t>
  </si>
  <si>
    <t xml:space="preserve">LOG-0017</t>
  </si>
  <si>
    <t xml:space="preserve">make_splits.py</t>
  </si>
  <si>
    <t xml:space="preserve">03_src/scripts/make_splits.py</t>
  </si>
  <si>
    <t xml:space="preserve">Copy script make_splits.py (từ skill) vào dự án để chạy lại được độc lập</t>
  </si>
  <si>
    <t xml:space="preserve">LOG-0018</t>
  </si>
  <si>
    <t xml:space="preserve">P2 Định nghĩa bài toán</t>
  </si>
  <si>
    <t xml:space="preserve">problem_definition.md</t>
  </si>
  <si>
    <t xml:space="preserve">06_reports/problem_definition.md</t>
  </si>
  <si>
    <t xml:space="preserve">Viết problem_definition.md theo template report_templates.md: chốt loại bài toán (hồi quy), input/output, metric chính (RMSLE) + phụ (MAE, R²), tiêu chí thành công, ràng buộc phần cứng, rủi ro và giả định. Tổng hợp lại từ các DECISION đã ghi ở P0 (LOG-0003, LOG-0004, LOG-0005) và các FINDING ở P1 (FND-0001) và P3 (FND-0002).</t>
  </si>
  <si>
    <t xml:space="preserve">Theo đúng thứ tự P0-P9 của skill: P2 phải chốt bằng văn bản trước khi có bất kỳ số liệu mô hình nào</t>
  </si>
  <si>
    <t xml:space="preserve">LOG-0019</t>
  </si>
  <si>
    <t xml:space="preserve">NOTE</t>
  </si>
  <si>
    <t xml:space="preserve">Đính chính đánh số bước: dòng LOG-0016/LOG-0017 (chạy make_splits.py, copy script) được ghi với step-label 'P2 Chia train/val/test' do đánh số nhầm; đúng theo quy trình skill thì bước chia dữ liệu là P3, không phải P2. Không sửa lại các dòng cũ đó (append-only), chỉ đính chính tại đây.</t>
  </si>
  <si>
    <t xml:space="preserve">LOG-0020</t>
  </si>
  <si>
    <t xml:space="preserve">P2.5 Khám phá dữ liệu (EDA, chỉ trên train)</t>
  </si>
  <si>
    <t xml:space="preserve">Chạy EDA chỉ trên split=='train' của 01_data/splits/split_v1.csv (1022 dòng), tuân thủ nguyên tắc 'EDA chỉ trên train' của skill. Xem: phân phối SalePrice, missing (đối chiếu số liệu với audit toàn bộ), tương quan numeric, quét ngoại lai IQR, mức hạng mục hiếm.</t>
  </si>
  <si>
    <t xml:space="preserve">SalePrice train: skew=1.73 (log1p skew=0.15, xác nhận log-transform hợp lý). Missing top: PoolQC 99.4%, MiscFeature 96.0%, Alley 93.4%, Fence 80.2%, MasVnrType 59.2%, FireplaceQu 47.1% - khớp tỉ lệ với audit toàn bộ (P1), xác nhận split không lệch phân bố missing. Top tương quan: OverallQual 0.79, GrLivArea 0.69, GarageCars 0.64. 31 cột categorical có ít nhất 1 mức hiếm (&lt;10 mẫu).</t>
  </si>
  <si>
    <t xml:space="preserve">LOG-0021</t>
  </si>
  <si>
    <t xml:space="preserve">Loại 2 dòng Id=524 và Id=1299 khỏi tập train khi fit mô hình ở P4/P5 (ngoại lai đã biết của dataset, xem FND-0003). Cách điền missing cho nhóm cột 'missing có ý nghĩa' (PoolQC, MiscFeature, Alley, Fence, MasVnrType, FireplaceQu, Garage*, Bsmt*): dùng hằng số 'None' (categorical) hoặc 0 (numeric liên quan), tính từ quyết định FND-0001 - nay xác nhận lại bằng số liệu train thực tế (tỉ lệ khớp audit toàn bộ).</t>
  </si>
  <si>
    <t xml:space="preserve">Kết luận rút ra từ EDA trên train, theo nguyên tắc chỉ quyết định dựa vào train</t>
  </si>
  <si>
    <t xml:space="preserve">FND-0003,FND-0001</t>
  </si>
  <si>
    <t xml:space="preserve">LOG-0022</t>
  </si>
  <si>
    <t xml:space="preserve">eda_train_summary.md</t>
  </si>
  <si>
    <t xml:space="preserve">06_reports/eda_train_summary.md</t>
  </si>
  <si>
    <t xml:space="preserve">Tóm tắt EDA trên train + các quyết định rút ra, kèm tham chiếu log</t>
  </si>
  <si>
    <t xml:space="preserve">LOG-0023</t>
  </si>
  <si>
    <t xml:space="preserve">eda_train.py</t>
  </si>
  <si>
    <t xml:space="preserve">03_src/scripts/eda_train.py</t>
  </si>
  <si>
    <t xml:space="preserve">Script EDA (chỉ đọc split=='train'), có thể chạy lại độc lập</t>
  </si>
  <si>
    <t xml:space="preserve">LOG-0024</t>
  </si>
  <si>
    <t xml:space="preserve">VERIFY</t>
  </si>
  <si>
    <t xml:space="preserve">P1 Kiểm toán dữ liệu (bổ sung)</t>
  </si>
  <si>
    <t xml:space="preserve">Xem tận mắt 20 dòng ngẫu nhiên trong train (seed=7) theo yêu cầu cổng G1, kiểm tra quan hệ giữa OverallQual/GrLivArea/YearBuilt/GarageCars/SaleCondition với SalePrice.</t>
  </si>
  <si>
    <t xml:space="preserve">Không phát hiện nhãn bất thường/vô lý: giá tăng hợp lý theo chất lượng, diện tích, năm xây; các dòng SaleCondition='Partial'/'Family' vẫn có giá hợp lý (ngoại trừ 2 điểm đã ghi ở FND-0003, không nằm trong mẫu 20 dòng này). Gate G1 coi như đã đóng đầy đủ (đã có: manifest, missing, trùng lặp ở P1 + xem mẫu bằng mắt ở đây).</t>
  </si>
  <si>
    <t xml:space="preserve">LOG-0025</t>
  </si>
  <si>
    <t xml:space="preserve">Cập nhật skill</t>
  </si>
  <si>
    <t xml:space="preserve">Người dùng cung cấp bản skill dl-project-from-raw-data mới (file .skill upload). Đã thay thế toàn bộ /mnt/skills/plugins/dl-project-from-raw-data bằng bản mới. Thay đổi cốt lõi: quy trình mở rộng từ P0-P9 thành P0-P11, thêm bước P4 'Khám phá dữ liệu (EDA, chỉ trên train)' chính thức (trước đây mình tự đặt tạm là 'P2.5'), và đảo thứ tự: P5 Tiền xử lý giờ đứng TRƯỚC P6 Baseline (trước đây baseline P4 đứng trước tiền xử lý P5). Số hiệu cổng G3(Baseline)/G4(pipeline) giữ nguyên tên nhưng gắn với P6/P7 mới. Đã re-áp dụng lại 2 chỉnh sửa riêng của dự án này (quy ước ghi log tiếng Việt có dấu ở SKILL.md muc 7, log_schema.md, và scripts/log_change.py README_ROWS) vì bản mới người dùng cung cấp không có 2 chỉnh sửa này.</t>
  </si>
  <si>
    <t xml:space="preserve">Người dùng yêu cầu cập nhật và ghi nhớ skill mới</t>
  </si>
  <si>
    <t xml:space="preserve">LOG-0026</t>
  </si>
  <si>
    <t xml:space="preserve">Đối chiếu lại tiến độ dự án theo số P mới: P0 Khởi tạo=Done, P1 Kiểm toán=Done, P2 Định nghĩa bài toán=Done, P3 Chia dữ liệu=Done, P4 Khám phá dữ liệu (train)=Done (thực hiện ở các dòng LOG-0020,LOG-0021,FND-0003, lúc đó gắn nhầm nhãn 'P2.5'). Bước tiếp theo chính xác theo skill mới là P5 (Tiền xử lý: dùng scripts/preprocess_tabular.py fit/check), SAU ĐÓ mới tới P6 (Baseline) - đảo lại thứ tự so với thông báo trước đó của mình (đã nói nhầm là 'P4 Baseline' sẽ làm tiếp, nay đính chính lại).</t>
  </si>
  <si>
    <t xml:space="preserve">Đính chính theo cấu trúc mới của skill, không sửa các dòng log cũ</t>
  </si>
  <si>
    <t xml:space="preserve">LOG-0027</t>
  </si>
  <si>
    <t xml:space="preserve">S-20260925</t>
  </si>
  <si>
    <t xml:space="preserve">Cập nhật skill (lần 2)</t>
  </si>
  <si>
    <t xml:space="preserve">Người dùng upload lại file skill (cùng tên nhưng nội dung mới hơn bản đã cập nhật trước đó ở LOG-0025/0026). Điểm mới quan trọng: (1) Thêm script scripts/explore_tabular.py chuyên dụng cho P4 - tự tính thang đo, thống kê mô tả, ngoại lai IQR, giá trị ngoài miền hợp lệ, độ lệch phân phối, tương quan, độ liên quan với nhãn (Pearson/ANOVA), tự vẽ biểu đồ vào eda_plots/. (2) scripts/preprocess_tabular.py mở rộng thêm tùy chọn: --valid-range, --drop-missing-thresh, --select-anova-thresh/--select-corr-thresh (chọn đặc trưng), --bin (rời rạc hóa), --pca (giảm chiều). Đã thay thế toàn bộ thư mục skill và re-áp lại 2 chỉnh sửa riêng của dự án (quy ước log tiếng Việt có dấu ở SKILL.md, log_schema.md, log_change.py README_ROWS).</t>
  </si>
  <si>
    <t xml:space="preserve">Người dùng yêu cầu cập nhật bộ nhớ bằng file skill mới</t>
  </si>
  <si>
    <t xml:space="preserve">LOG-0028</t>
  </si>
  <si>
    <t xml:space="preserve">P4 (khám phá dữ liệu) của dự án này đã hoàn thành thủ công trước khi có script explore_tabular.py, kết quả và các DECISION (LOG-0020, LOG-0021, FND-0003) vẫn giữ nguyên giá trị, không cần chạy lại. Ở bước P5 (Tiền xử lý) sắp tới, sẽ tận dụng preprocess_tabular.py bản mới, đặc biệt --valid-range cho các cột có miền giá trị rõ ràng (vd YearBuilt, GarageYrBlt không được lớn hơn năm hiện tại) nếu phù hợp.</t>
  </si>
  <si>
    <t xml:space="preserve">LOG-0029</t>
  </si>
  <si>
    <t xml:space="preserve">P4 Khám phá dữ liệu (EDA)</t>
  </si>
  <si>
    <t xml:space="preserve">split_v1_selected_features.csv</t>
  </si>
  <si>
    <t xml:space="preserve">01_data/splits/split_v1_selected_features.csv</t>
  </si>
  <si>
    <t xml:space="preserve">Tạo bảng con chỉ gồm 67 đặc trưng người dùng chọn lọc theo 9 nhóm ý nghĩa nghiệp vụ (khu đất, vị trí, chất lượng nhà, móng/tầng hầm, hệ thống, diện tích, garage, đường vào, giao dịch) + Id, SalePrice, split. Loại 12 cột: Fireplaces, FireplaceQu, WoodDeckSF, OpenPorchSF, EnclosedPorch, 3SsnPorch, ScreenPorch, PoolArea, PoolQC, Fence, MiscFeature, MiscVal.</t>
  </si>
  <si>
    <t xml:space="preserve">LOG-0030</t>
  </si>
  <si>
    <t xml:space="preserve">Chạy scripts/explore_tabular.py trên split_v1_selected_features.csv (chỉ train, 1022 dòng, 67 đặc trưng), --label-col SalePrice --label-type numeric --ordinal-cols (17 cột chất lượng/thứ bậc), --valid-range cho LotFrontage/MasVnrArea/GarageYrBlt.</t>
  </si>
  <si>
    <t xml:space="preserve">28 cột số, 39 cột hạng mục. 0 giá trị ngoài miền hợp lệ. Ngoại lai IQR đáng chú ý: OverallCond 8.41%, MSSubClass 7.24%, LotFrontage 6.95%, MasVnrArea 6.7%, BsmtFinSF2 9.98% (nhưng phần lớn do phân phối lệch/rời rạc, không hẳn là lỗi). Top Pearson-vs-label (numeric, chưa log-transform): OverallQual 0.786, GrLivArea 0.689, TotalBsmtSF 0.592, GarageCars 0.642, GarageArea 0.618, 1stFlrSF 0.583. Heatmap xác nhận 3 cụm cộng tuyến: (GrLivArea, FullBath, TotRmsAbvGrd, 2ndFlrSF), (GarageCars, GarageArea), (TotalBsmtSF, BsmtUnfSF, BsmtFinSF1, 1stFlrSF).</t>
  </si>
  <si>
    <t xml:space="preserve">LOG-0031</t>
  </si>
  <si>
    <t xml:space="preserve">Vẽ 9 biểu đồ tổng hợp theo nhóm ý nghĩa nghiệp vụ (N1_KhuDat...N9_GiaoDich), mỗi ô con là scatter(numeric vs SalePrice, có hệ số Pearson) hoặc boxplot(SalePrice theo từng mức categorical, sắp theo median tăng dần). Lưu tại 06_reports/eda/eda_plots/by_group/.</t>
  </si>
  <si>
    <t xml:space="preserve">LOG-0032</t>
  </si>
  <si>
    <t xml:space="preserve">eda_group_plots.py</t>
  </si>
  <si>
    <t xml:space="preserve">03_src/scripts/eda_group_plots.py</t>
  </si>
  <si>
    <t xml:space="preserve">Script tự viết (bổ sung ngoài skill) để vẽ 9 biểu đồ theo nhóm</t>
  </si>
  <si>
    <t xml:space="preserve">LOG-0033</t>
  </si>
  <si>
    <t xml:space="preserve">Theo đề xuất người dùng, chạy explore_tabular.py trên TOÀN BỘ 79 cột gốc (01_data/splits/split_v1.csv, chỉ train) thay vì chỉ 67 cột đã chọn, để đối chiếu ngược và tránh bỏ sót đặc trưng quan trọng.</t>
  </si>
  <si>
    <t xml:space="preserve">Kết quả 67 cột đã chọn khớp 100% với lần chạy trước. Phát hiện quan trọng ở nhóm 12 cột đã loại: Fireplaces (corr=0.46) và FireplaceQu (eta2=0.302) có tín hiệu MẠNH - cao hơn nhiều cột đang được giữ (vd BldgType eta2=0.048, Electrical eta2=0.079). WoodDeckSF (0.328) và OpenPorchSF (0.315) cũng ở mức trung bình-khá, tương đương HalfBath (0.278) đang được giữ. Ngược lại EnclosedPorch (-0.146), 3SsnPorch (0.062), ScreenPorch (0.143), PoolArea (0.127), MiscVal (-0.015), PoolQC (eta2=0.013), Fence (eta2=0.04), MiscFeature (eta2=0.009) đều xác nhận yếu, loại là hợp lý.</t>
  </si>
  <si>
    <t xml:space="preserve">LOG-0034</t>
  </si>
  <si>
    <t xml:space="preserve">Chốt danh sách đặc trưng cuối cùng: 67 cột ban đầu + 4 cột thêm lại (Fireplaces, FireplaceQu vào nhóm 3 - Chất lượng nhà; WoodDeckSF, OpenPorchSF vào nhóm 6 - Diện tích sinh hoạt) = 71 cột. Loại hẳn 8 cột còn lại (EnclosedPorch, 3SsnPorch, ScreenPorch, PoolArea, PoolQC, Fence, MiscFeature, MiscVal) do tín hiệu quá yếu (xem FND-0004).</t>
  </si>
  <si>
    <t xml:space="preserve">Người dùng đồng ý sau khi xem bằng chứng đối chiếu EDA toàn bộ 79 cột</t>
  </si>
  <si>
    <t xml:space="preserve">FND-0004</t>
  </si>
  <si>
    <t xml:space="preserve">LOG-0035</t>
  </si>
  <si>
    <t xml:space="preserve">MODIFY</t>
  </si>
  <si>
    <t xml:space="preserve">Cập nhật bảng đặc trưng đã chọn từ 67 lên 71 cột: thêm Fireplaces, FireplaceQu (nhóm 3), WoodDeckSF, OpenPorchSF (nhóm 6) theo DECISION LOG-0034.</t>
  </si>
  <si>
    <t xml:space="preserve">LOG-0036</t>
  </si>
  <si>
    <t xml:space="preserve">Chạy lại explore_tabular.py và vẽ lại 2 biểu đồ nhóm (N3, N6) trên bảng 71 cột đã cập nhật.</t>
  </si>
  <si>
    <t xml:space="preserve">FireplaceQu cho bậc thang tăng dần rõ theo chất lượng (Po den Ex). WoodDeckSF/OpenPorchSF phân tán nhưng có xu hướng dương rõ. Xác nhận quyết định thêm lại là hợp lý.</t>
  </si>
  <si>
    <t xml:space="preserve">LOG-0037</t>
  </si>
  <si>
    <t xml:space="preserve">explore_tabular.py</t>
  </si>
  <si>
    <t xml:space="preserve">03_src/scripts/explore_tabular.py</t>
  </si>
  <si>
    <t xml:space="preserve">Copy script explore_tabular.py (từ skill) vào dự án để chạy lại được độc lập, dùng cho cả 06_reports/eda và 06_reports/eda_full</t>
  </si>
  <si>
    <t xml:space="preserve">LOG-0038</t>
  </si>
  <si>
    <t xml:space="preserve">select_features.py</t>
  </si>
  <si>
    <t xml:space="preserve">03_src/scripts/select_features.py</t>
  </si>
  <si>
    <t xml:space="preserve">Lưu code lọc 71 đặc trưng đã chọn (trước đó chỉ chạy tay, chưa lưu file) thành script chạy lại được: đọc 01_data/splits/split_v1.csv, xuất 01_data/splits/split_v1_selected_features.csv.</t>
  </si>
  <si>
    <t xml:space="preserve">Chạy lại, so sánh SHA256/MD5 với file hiện có: khớp 100% (6143aaca63ab186570c0c59c30c76f96).</t>
  </si>
  <si>
    <t xml:space="preserve">LOG-0039</t>
  </si>
  <si>
    <t xml:space="preserve">S-20260926</t>
  </si>
  <si>
    <t xml:space="preserve">P5 Tiền xử lý</t>
  </si>
  <si>
    <t xml:space="preserve">encode_business_rules.py</t>
  </si>
  <si>
    <t xml:space="preserve">03_src/scripts/encode_business_rules.py</t>
  </si>
  <si>
    <t xml:space="preserve">Script áp quy tắc nghiệp vụ cố định (không học từ dữ liệu, áp đồng nhất train/val/test): mã hóa Ordinal cho 18 cột chất lượng/thứ bậc theo đúng thứ tự (NA=hạng 0 cho cột có thể 'không có đặc điểm'); điền 0 cho MasVnrArea, GarageYrBlt khi thiếu (missing có ý nghĩa, FND-0001); loại 2 dòng ngoại lai Id=524,1299 (FND-0003).</t>
  </si>
  <si>
    <t xml:space="preserve">LOG-0040</t>
  </si>
  <si>
    <t xml:space="preserve">Chạy encode_business_rules.py rồi preprocess_tabular.py fit trên 01_data/splits/split_v1_prepped.csv (--label-col SalePrice --impute median --scaler standard --valid-range LotFrontage:0:None --dedup-train).</t>
  </si>
  <si>
    <t xml:space="preserve">Kết quả: 1020 dòng train (loại 0 trùng), 219 val, 219 test. 49 cột số + 22 cột hạng mục (đúng = 71 - 18 ordinal đã thành số). Tổng sau one-hot: 205 đặc trưng. LotFrontage: 0 giá trị ngoài miền. Cảnh báo (không phải lỗi): val/test có vài mức hạng mục hiếm chưa xuất hiện ở train (RoofMatl='Roll', Exterior1st='Stone', Electrical='Mix') -&gt; tự động mã hóa thành vector 0 (handle_unknown='ignore'), đúng hành vi mong đợi.</t>
  </si>
  <si>
    <t xml:space="preserve">LOG-0041</t>
  </si>
  <si>
    <t xml:space="preserve">Chạy preprocess_tabular.py check để xác nhận bộ tiền xử lý chỉ học từ train, không rò rỉ.</t>
  </si>
  <si>
    <t xml:space="preserve">Kết quả: KIỂM CHỨNG: PASSED</t>
  </si>
  <si>
    <t xml:space="preserve">LOG-0042</t>
  </si>
  <si>
    <t xml:space="preserve">preprocess_tabular.py</t>
  </si>
  <si>
    <t xml:space="preserve">03_src/scripts/preprocess_tabular.py</t>
  </si>
  <si>
    <t xml:space="preserve">Copy script preprocess_tabular.py (từ skill) vào dự án - script này đã tạo ra thư mục 01_data/processed/ ở bước P5, chạy lại được độc lập</t>
  </si>
  <si>
    <t xml:space="preserve">LOG-0043</t>
  </si>
  <si>
    <t xml:space="preserve">Rà soát quy tắc copy script</t>
  </si>
  <si>
    <t xml:space="preserve">scaffold_project.py</t>
  </si>
  <si>
    <t xml:space="preserve">03_src/scripts/scaffold_project.py</t>
  </si>
  <si>
    <t xml:space="preserve">Rà soát lại toàn bộ project theo quy tắc mới (mọi file do script tạo ra phải có script kèm theo), phát hiện thiếu scaffold_project.py (đã tạo cấu trúc thư mục, README.md, requirements.txt, change_log.xlsx ban đầu ở P0) và log_change.py (đã tạo/ghi toàn bộ change_log.xlsx từ đầu tới giờ). Copy bù cả 2 vào 03_src/scripts/.</t>
  </si>
  <si>
    <t xml:space="preserve">LOG-0044</t>
  </si>
  <si>
    <t xml:space="preserve">log_change.py</t>
  </si>
  <si>
    <t xml:space="preserve">03_src/scripts/log_change.py</t>
  </si>
  <si>
    <t xml:space="preserve">Copy bù log_change.py (script tạo/ghi toàn bộ change_log.xlsx)</t>
  </si>
  <si>
    <t xml:space="preserve">LOG-0045</t>
  </si>
  <si>
    <t xml:space="preserve">Sắp xếp lại 03_src/scripts</t>
  </si>
  <si>
    <t xml:space="preserve">Di chuyển vào thư mục 'chung' vì dùng xuyên suốt mọi bước, không riêng bước nào</t>
  </si>
  <si>
    <t xml:space="preserve">03_src/scripts/chung/log_change.py</t>
  </si>
  <si>
    <t xml:space="preserve">LOG-0046</t>
  </si>
  <si>
    <t xml:space="preserve">Di chuyển vào thư mục p0_khoi_tao</t>
  </si>
  <si>
    <t xml:space="preserve">03_src/scripts/p0_khoi_tao/scaffold_project.py</t>
  </si>
  <si>
    <t xml:space="preserve">LOG-0047</t>
  </si>
  <si>
    <t xml:space="preserve">Di chuyển vào thư mục p1_kiem_toan_du_lieu</t>
  </si>
  <si>
    <t xml:space="preserve">03_src/scripts/p1_kiem_toan_du_lieu/audit_dataset.py</t>
  </si>
  <si>
    <t xml:space="preserve">LOG-0048</t>
  </si>
  <si>
    <t xml:space="preserve">Di chuyển vào thư mục p3_chia_du_lieu</t>
  </si>
  <si>
    <t xml:space="preserve">03_src/scripts/p3_chia_du_lieu/make_splits.py</t>
  </si>
  <si>
    <t xml:space="preserve">LOG-0049</t>
  </si>
  <si>
    <t xml:space="preserve">Di chuyển vào thư mục p4_kham_pha_du_lieu</t>
  </si>
  <si>
    <t xml:space="preserve">03_src/scripts/p4_kham_pha_du_lieu/eda_train.py</t>
  </si>
  <si>
    <t xml:space="preserve">LOG-0050</t>
  </si>
  <si>
    <t xml:space="preserve">03_src/scripts/p4_kham_pha_du_lieu/select_features.py</t>
  </si>
  <si>
    <t xml:space="preserve">LOG-0051</t>
  </si>
  <si>
    <t xml:space="preserve">03_src/scripts/p4_kham_pha_du_lieu/explore_tabular.py</t>
  </si>
  <si>
    <t xml:space="preserve">LOG-0052</t>
  </si>
  <si>
    <t xml:space="preserve">03_src/scripts/p4_kham_pha_du_lieu/eda_group_plots.py</t>
  </si>
  <si>
    <t xml:space="preserve">LOG-0053</t>
  </si>
  <si>
    <t xml:space="preserve">Di chuyển vào thư mục p5_tien_xu_ly</t>
  </si>
  <si>
    <t xml:space="preserve">03_src/scripts/p5_tien_xu_ly/encode_business_rules.py</t>
  </si>
  <si>
    <t xml:space="preserve">LOG-0054</t>
  </si>
  <si>
    <t xml:space="preserve">03_src/scripts/p5_tien_xu_ly/preprocess_tabular.py</t>
  </si>
  <si>
    <t xml:space="preserve">LOG-0055</t>
  </si>
  <si>
    <t xml:space="preserve">README.md</t>
  </si>
  <si>
    <t xml:space="preserve">Thêm sơ đồ cấu trúc 03_src/scripts/ mới (theo bước) vào README.md</t>
  </si>
  <si>
    <t xml:space="preserve">LOG-0056</t>
  </si>
  <si>
    <t xml:space="preserve">Sửa script tự tạo thư mục 06_reports/eda/eda_plots/by_group/ bằng os.makedirs(exist_ok=True), không cần mkdir tay trước khi chạy nữa</t>
  </si>
  <si>
    <t xml:space="preserve">LOG-0057</t>
  </si>
  <si>
    <t xml:space="preserve">quy_trinh_chay_lai.md</t>
  </si>
  <si>
    <t xml:space="preserve">06_reports/quy_trinh_chay_lai.md</t>
  </si>
  <si>
    <t xml:space="preserve">Tạo/cập nhật tài liệu quy trình chạy lại toàn bộ pipeline (người dùng cung cấp bản nháp, mình cập nhật đường dẫn theo cấu trúc thư mục mới, hoàn thiện Bước 8/9 còn thiếu tiêu đề, thêm Bước 10 (kiểm chứng check) còn thiếu).</t>
  </si>
  <si>
    <t xml:space="preserve">LOG-0058</t>
  </si>
  <si>
    <t xml:space="preserve">P6 Baseline</t>
  </si>
  <si>
    <t xml:space="preserve">baseline.py</t>
  </si>
  <si>
    <t xml:space="preserve">03_src/scripts/p6_baseline/baseline.py</t>
  </si>
  <si>
    <t xml:space="preserve">Script baseline: (1) hằng số=trung bình train, (2) XGBoost cổ điển trên 205 đặc trưng đã tiền xử lý ở P5. Đánh giá bằng RMSLE trên val (test còn khóa).</t>
  </si>
  <si>
    <t xml:space="preserve">LOG-0059</t>
  </si>
  <si>
    <t xml:space="preserve">linear_regression_baseline.py</t>
  </si>
  <si>
    <t xml:space="preserve">03_src/scripts/p6_baseline/linear_regression_baseline.py</t>
  </si>
  <si>
    <t xml:space="preserve">Script Linear Regression (không regularization) trên 205 đặc trưng đã tiền xử lý, xuất bảng hệ số đầy đủ.</t>
  </si>
  <si>
    <t xml:space="preserve">LOG-0060</t>
  </si>
  <si>
    <t xml:space="preserve">ridge_baseline.py</t>
  </si>
  <si>
    <t xml:space="preserve">03_src/scripts/p6_baseline/ridge_baseline.py</t>
  </si>
  <si>
    <t xml:space="preserve">Script RidgeCV (L2, tự chọn alpha bằng CV trên train) để có bảng hệ số ổn định, đáng tin cậy hơn Linear Regression thường.</t>
  </si>
  <si>
    <t xml:space="preserve">LOG-0061</t>
  </si>
  <si>
    <t xml:space="preserve">P7 Môi trường/pipeline (bỏ qua có lý do)</t>
  </si>
  <si>
    <t xml:space="preserve">P7 theo SKILL.md là bước dành cho Deep Learning (kiểm tra torch/GPU, viet theo pytorch_skeleton.md, cong G4 overfit-1-batch). Du an nay da chot khong dung DL tu P0 nen P7 khong ap dung. Muc tieu tuong duong (dam bao pipeline chay dung) da duoc thoa man qua: P0 (moi truong da test chay), P5 (preprocess_tabular.py check = PASSED), P6 (4 baseline chay end-to-end thanh cong, khong loi).</t>
  </si>
  <si>
    <t xml:space="preserve">Tranh bo sot buoc ma khong giai thich; ghi ro ly do bo qua thay vi im lang</t>
  </si>
  <si>
    <t xml:space="preserve">LOG-0062</t>
  </si>
  <si>
    <t xml:space="preserve">P8 Vòng thí nghiệm</t>
  </si>
  <si>
    <t xml:space="preserve">exp005_xgb_tuning.py</t>
  </si>
  <si>
    <t xml:space="preserve">03_src/scripts/p8_thi_nghiem/exp005_xgb_tuning.py</t>
  </si>
  <si>
    <t xml:space="preserve">Script RandomizedSearchCV (60 iter, 5-fold CV trên train) tìm siêu tham số XGBoost tốt hơn.</t>
  </si>
  <si>
    <t xml:space="preserve">LOG-0063</t>
  </si>
  <si>
    <t xml:space="preserve">P9 Đánh giá cuối</t>
  </si>
  <si>
    <t xml:space="preserve">Chốt mô hình cuối cùng: Ridge Regression (alpha=30, EXP-0004), fit trên log1p(SalePrice), 205 đặc trưng sau P5. KHÔNG chọn Linear Regression (EXP-0003) dù RMSLE val nhỉnh hơn chút (0.1143 vs 0.1155) vì bảng hệ số của EXP-0003 không ổn định (bị vài mẫu hạng mục hiếm chi phối) - rủi ro suy rộng kém ra dữ liệu mới cao hơn. Ridge (co regularization, alpha chon bang CV tren train) an toan va dang tin cay hon. Vi Ridge la mo hinh tat dinh (khong co seed ngau nhien anh huong ket qua) nen thay vi chay &gt;=3 seed tren val nhu checklist goi y cho mo hinh ngau nhien, se dung Bootstrap CI (&gt;=1000 lan resample) tren val de uoc luong do on dinh cua RMSLE truoc khi mo test.</t>
  </si>
  <si>
    <t xml:space="preserve">Theo yêu cầu bắt buộc của cổng G7: phải chốt cấu hình và ghi DECISION TRƯỚC khi mở test lần đầu</t>
  </si>
  <si>
    <t xml:space="preserve">LOG-0064</t>
  </si>
  <si>
    <t xml:space="preserve">Sap mo test lan dau (Id trong 01_data/splits/split_v1.csv, split=='test', 219 dong, chua bao gio duoc doc/tinh metric tu truoc den nay trong du an nay).</t>
  </si>
  <si>
    <t xml:space="preserve">Ghi truoc khi mo, dung quy dinh cong G7: 'tu day khong ai mo/tinh metric tren test cho den G7'</t>
  </si>
  <si>
    <t xml:space="preserve">LOG-0065</t>
  </si>
  <si>
    <t xml:space="preserve">final_eval.py</t>
  </si>
  <si>
    <t xml:space="preserve">Chạy final_eval.py: (1) Bootstrap CI (1000 lần) trên val cho Ridge(alpha=30); (2) MỞ TEST, chạy đúng 1 lần.</t>
  </si>
  <si>
    <t xml:space="preserve">VAL: RMSLE=0.1155 (bootstrap mean=0.1148, 95% CI=[0.089, 0.145]). TEST (219 dòng, mở đúng 1 lần): RMSLE=0.1301 (bootstrap mean=0.1274, 95% CI=[0.099, 0.159]), MAE=$14,280, R2=0.943. Test kém hơn val một chút (0.1301 vs 0.1155) nhưng nằm trong khoảng CI chồng lấp - không có dấu hiệu overfit nghiêm trọng lên val qua nhiều thí nghiệm.</t>
  </si>
  <si>
    <t xml:space="preserve">LOG-0066</t>
  </si>
  <si>
    <t xml:space="preserve">03_src/scripts/p9_danh_gia_cuoi/final_eval.py</t>
  </si>
  <si>
    <t xml:space="preserve">Script đánh giá cuối: bootstrap CI trên val, mở test đúng 1 lần, lưu chi tiết dự đoán để phân tích lỗi.</t>
  </si>
  <si>
    <t xml:space="preserve">LOG-0067</t>
  </si>
  <si>
    <t xml:space="preserve">final_report.md</t>
  </si>
  <si>
    <t xml:space="preserve">06_reports/final_report.md</t>
  </si>
  <si>
    <t xml:space="preserve">Viết final_report.md theo template report_templates.md: tóm tắt, dữ liệu, EDA, tiền xử lý, bảng baseline/thí nghiệm, mô hình cuối + kết quả test (bootstrap CI), phân tích lỗi, hạn chế, cách chạy lại, nhật ký, bảng đã chạy thật vs chưa chạy.</t>
  </si>
  <si>
    <t xml:space="preserve">LOG-0068</t>
  </si>
  <si>
    <t xml:space="preserve">P10 Đóng gói</t>
  </si>
  <si>
    <t xml:space="preserve">save_final_model.py</t>
  </si>
  <si>
    <t xml:space="preserve">03_src/scripts/p10_dong_goi/save_final_model.py</t>
  </si>
  <si>
    <t xml:space="preserve">Lưu checkpoint mô hình cuối (Ridge alpha=30) thành final_model_ridge.joblib kèm metadata (config, seed, hash dữ liệu train, feature names).</t>
  </si>
  <si>
    <t xml:space="preserve">LOG-0069</t>
  </si>
  <si>
    <t xml:space="preserve">predict_from_raw.py</t>
  </si>
  <si>
    <t xml:space="preserve">03_src/scripts/p10_dong_goi/predict_from_raw.py</t>
  </si>
  <si>
    <t xml:space="preserve">Script suy luận độc lập: nhận CSV thô (schema 00_raw/train.csv), tự chạy select_features + encode_business_rules + preprocessor.joblib + final_model_ridge.joblib, ra SalePrice dự đoán.</t>
  </si>
  <si>
    <t xml:space="preserve">LOG-0070</t>
  </si>
  <si>
    <t xml:space="preserve">Kiểm chứng G8: (1) Chạy predict_from_raw.py trên 5 mẫu thô (Id=1,7,191,496,886) chưa qua pipeline train - kết quả khớp chính xác với số liệu đã có ở phân tích lỗi val P9. (2) Chạy lại TOÀN BỘ pipeline từ select_features -&gt; encode_business_rules -&gt; preprocess_tabular fit -&gt; Ridge, RMSLE val tái lập = 0.115459, khớp CHÍNH XÁC (dung sai 0, vì Ridge tất định) với báo cáo ở EXP-0004/final_report.md.</t>
  </si>
  <si>
    <t xml:space="preserve">LOG-0071</t>
  </si>
  <si>
    <t xml:space="preserve">model_card.md</t>
  </si>
  <si>
    <t xml:space="preserve">06_reports/model_card.md</t>
  </si>
  <si>
    <t xml:space="preserve">Viết model_card.md theo template: mục đích/ngoài phạm vi, dữ liệu, đặc trưng+tiền xử lý bắt buộc, metric, hạn chế, rủi ro, phiên bản/người chịu trách nhiệm.</t>
  </si>
  <si>
    <t xml:space="preserve">LOG-0072</t>
  </si>
  <si>
    <t xml:space="preserve">P11 Báo cáo và giao</t>
  </si>
  <si>
    <t xml:space="preserve">Chạy recalc.py xác nhận total_errors=0. Nén toàn bộ dự án (trừ 00_raw - người dùng đã có, 456KB) thành house_price_ml_FINAL.zip (3.5MB, bao gồm cả checkpoint 01_data/processed 2.3MB - không loại vì kích thước nhỏ). Chép riêng change_log.xlsx và final_report.md.</t>
  </si>
  <si>
    <t xml:space="preserve">LOG-0073</t>
  </si>
  <si>
    <t xml:space="preserve">Viết lại toàn bộ quy_trinh_chay_lai.md, bổ sung đầy đủ từ Bước 11 đến Bước 18 (trước đó chỉ có tới Bước 10/P5): baseline (XGBoost, Linear, Ridge), tuning XGBoost (P8), đánh giá cuối trên val rồi mở test (P9), lưu checkpoint và suy luận độc lập (P10). Tổng cộng 18 bước, khớp với mọi script trong 03_src/scripts/.</t>
  </si>
  <si>
    <t xml:space="preserve">Finding_ID</t>
  </si>
  <si>
    <t xml:space="preserve">Ngày</t>
  </si>
  <si>
    <t xml:space="preserve">Nhóm</t>
  </si>
  <si>
    <t xml:space="preserve">Vị_trí</t>
  </si>
  <si>
    <t xml:space="preserve">Mô_tả</t>
  </si>
  <si>
    <t xml:space="preserve">Bằng_chứng</t>
  </si>
  <si>
    <t xml:space="preserve">Cách_sửa_đề_xuất</t>
  </si>
  <si>
    <t xml:space="preserve">Log_ID_liên_quan</t>
  </si>
  <si>
    <t xml:space="preserve">FND-0001</t>
  </si>
  <si>
    <t xml:space="preserve">Medium</t>
  </si>
  <si>
    <t xml:space="preserve">Missing data</t>
  </si>
  <si>
    <t xml:space="preserve">00_raw/train.csv</t>
  </si>
  <si>
    <t xml:space="preserve">19 cột có giá trị thiếu. Đã đối chiếu với data_description của dataset Ames Housing: hầu hết là 'missing có ý nghĩa' (nhà không có đặc điểm đó), VD PoolQC/Fence/Alley/MiscFeature/FireplaceQu/Garage*/Bsmt* thiếu vì nhà không có hồ bơi/hàng rào/garage/tầng hầm.</t>
  </si>
  <si>
    <t xml:space="preserve">01_data/audit/data_report.md; PoolQC thiếu 1453/1460 (99.5%), MiscFeature 1406 (96.3%), Alley 1369 (93.8%)</t>
  </si>
  <si>
    <t xml:space="preserve">P3 sẽ impute các cột này bằng giá trị hằng số 'None' (categorical) hoặc 0 (numeric liên quan tới đặc điểm không tồn tại, VD MasVnrArea), KHÔNG dùng median/mode mặc định cho nhóm này. [Đã áp dụng ở P5 - encode_business_rules.py, LOG-0039]</t>
  </si>
  <si>
    <t xml:space="preserve">FND-0002</t>
  </si>
  <si>
    <t xml:space="preserve">Low</t>
  </si>
  <si>
    <t xml:space="preserve">Chia dữ liệu</t>
  </si>
  <si>
    <t xml:space="preserve">01_data/splits/split_v1_summary.json</t>
  </si>
  <si>
    <t xml:space="preserve">Trường 'strategy' trong summary.json ghi 'stratified' dù thực tế script đã cảnh báo và chuyển sang chia ngẫu nhiên (fallback) vì SalePrice là hồi quy liên tục, không phải nhãn phân loại. Đây là hạn chế hiển thị của script make_splits.py (thiết kế chính cho bài toán phân loại), không phải lỗi của kết quả chia.</t>
  </si>
  <si>
    <t xml:space="preserve">Log console: 'CANH BAO: stratify that bai ... dung chia ngau nhien'</t>
  </si>
  <si>
    <t xml:space="preserve">Không cần sửa vì với hồi quy, chia ngẫu nhiên (có seed cố định) là hợp lý; chỉ cần ghi chú lại để không hiểu nhầm là đã stratify theo khoảng giá.</t>
  </si>
  <si>
    <t xml:space="preserve">Wontfix</t>
  </si>
  <si>
    <t xml:space="preserve">FND-0003</t>
  </si>
  <si>
    <t xml:space="preserve">High</t>
  </si>
  <si>
    <t xml:space="preserve">Ngoại lai / lỗi dữ liệu</t>
  </si>
  <si>
    <t xml:space="preserve">01_data/splits/split_v1.csv</t>
  </si>
  <si>
    <t xml:space="preserve">Id=524, Id=1299</t>
  </si>
  <si>
    <t xml:space="preserve">2 căn nhà có GrLivArea rất lớn (4676 và 5642 sqft) và OverallQual=10 nhưng SalePrice lại RẤT THẤP (184750 và 160000) - thấp hơn nhiều nhà nhỏ hơn nhiều. Cả 2 đều có SaleCondition='Partial' (nhà bán khi CHƯA hoàn thiện/xây xong). Đây là lỗi/ngoại lai đã được chính tác giả dataset (Dean De Cock) ghi nhận công khai, khuyến nghị loại khỏi tập train. Có 1 điểm thứ 3 (Id=1183, GrLivArea=4476, SalePrice=745000, SaleCondition='Abnorml') là giá cao nhất trong toàn bộ dữ liệu - đây là điểm HỢP LỆ (không phải lỗi), không loại.</t>
  </si>
  <si>
    <t xml:space="preserve">02_notebooks/eda_train.png (scatter GrLivArea vs SalePrice); bảng chi tiết 3 dòng GrLivArea&gt;4000 trong train</t>
  </si>
  <si>
    <t xml:space="preserve">DECISION: loại 2 dòng Id=524 và Id=1299 khỏi TRAIN khi huấn luyện baseline/mô hình (P4/P5). KHÔNG loại khỏi val/test (val/test không có 2 Id này vì đều rơi vào train ở split_v1, nhưng nguyên tắc chung: ngoại lai chỉ loại ở train). Giữ nguyên Id=1183 vì là giá trị hợp lệ, không phải lỗi. [Đã áp dụng ở P5 - encode_business_rules.py, LOG-0039]</t>
  </si>
  <si>
    <t xml:space="preserve">Chọn đặc trưng</t>
  </si>
  <si>
    <t xml:space="preserve">06_reports/eda_full/eda_report.md</t>
  </si>
  <si>
    <t xml:space="preserve">Trong 12 cột người dùng loại ban đầu (nhóm 'extras'), 3-4 cột thực ra có tín hiệu đáng kể với SalePrice: Fireplaces (corr=0.46), FireplaceQu (eta2=0.302), WoodDeckSF (corr=0.328), OpenPorchSF (corr=0.315). Đây là bằng chứng số liệu (chỉ từ train) nên cân nhắc thêm lại các cột này.</t>
  </si>
  <si>
    <t xml:space="preserve">06_reports/eda_full/eda_report.md, mục 'Độ liên quan với biến mục tiêu'</t>
  </si>
  <si>
    <t xml:space="preserve">Đề xuất: thêm Fireplaces + FireplaceQu (nhóm 3 Chất lượng nhà) và WoodDeckSF + OpenPorchSF (nhóm 6 Diện tích) vào danh sách giữ lại; giữ nguyên loại 8 cột còn lại (EnclosedPorch, 3SsnPorch, ScreenPorch, PoolArea, PoolQC, Fence, MiscFeature, MiscVal). [Đã thực hiện - xem LOG-0034]</t>
  </si>
  <si>
    <t xml:space="preserve">FND-0005</t>
  </si>
  <si>
    <t xml:space="preserve">Đã thêm lại 4 cột này vào danh sách giữ (xem LOG tiếp theo).</t>
  </si>
  <si>
    <t xml:space="preserve">FND-0006</t>
  </si>
  <si>
    <t xml:space="preserve">Phân tích lỗi</t>
  </si>
  <si>
    <t xml:space="preserve">05_experiments/exp0004_val_predictions.csv</t>
  </si>
  <si>
    <t xml:space="preserve">Phân tích lỗi trên VAL (không dùng test): 6/10 dòng có sai số tuyệt đối lớn nhất đều có SaleCondition khác 'Normal' (Abnorml: bán gấp/khó khăn tài chính; Partial: nhà mới xây bán trực tiếp). Case cực đoan: Id=496, SalePrice=$34,900 (rẻ nhất toàn dataset, SaleCondition=Abnorml, chỉ 720 sqft) bị dự đoán lệch 131%.</t>
  </si>
  <si>
    <t xml:space="preserve">05_experiments/exp0004_val_predictions.csv, đối chiếu Neighborhood/OverallQual/SaleCondition</t>
  </si>
  <si>
    <t xml:space="preserve">Hướng cải thiện tiềm năng cho vòng thí nghiệm sau: thêm interaction feature giữa SaleCondition và các đặc trưng chính, hoặc huấn luyện mô hình riêng/điều chỉnh cho phân khúc SaleCondition != Normal. Không sửa ngay vì test đã đóng, đây chỉ là ghi nhận cho báo cáo cuối.</t>
  </si>
  <si>
    <t xml:space="preserve">Open</t>
  </si>
  <si>
    <t xml:space="preserve">Loại</t>
  </si>
  <si>
    <t xml:space="preserve">Kích_thước_byte</t>
  </si>
  <si>
    <t xml:space="preserve">SHA256</t>
  </si>
  <si>
    <t xml:space="preserve">Vai_trò</t>
  </si>
  <si>
    <t xml:space="preserve">Ngày_đăng_ký</t>
  </si>
  <si>
    <t xml:space="preserve">Log_ID_đăng_ký</t>
  </si>
  <si>
    <t xml:space="preserve">csv</t>
  </si>
  <si>
    <t xml:space="preserve">1e18addf81e5e4d347cc17ee6075bbe4a42b7fa26b9e5b063e8f692a5f929d41</t>
  </si>
  <si>
    <t xml:space="preserve">raw dataset (Ames Housing, Kaggle House Prices)</t>
  </si>
  <si>
    <t xml:space="preserve">txt</t>
  </si>
  <si>
    <t xml:space="preserve">1529842f18f3fc9ddc13f8a29f9fea308b93c99ae341d224cb35f419f9b5ba4c</t>
  </si>
  <si>
    <t xml:space="preserve">pinned deps for ML pipeline</t>
  </si>
  <si>
    <t xml:space="preserve">sh</t>
  </si>
  <si>
    <t xml:space="preserve">0ec14ff51fe75452e37d68a2f7f5d6b9b310104f03c4c73bddc63947f123317d</t>
  </si>
  <si>
    <t xml:space="preserve">venv setup script (Linux/macOS)</t>
  </si>
  <si>
    <t xml:space="preserve">bat</t>
  </si>
  <si>
    <t xml:space="preserve">6a3e68f17fb0c3ee20f0bf5c49390905563b41f881ed652f9db93ac322d5fbf2</t>
  </si>
  <si>
    <t xml:space="preserve">venv setup script (Windows)</t>
  </si>
  <si>
    <t xml:space="preserve">01_data/audit/manifest.csv</t>
  </si>
  <si>
    <t xml:space="preserve">0661f403d0fa6217d8fa3cb3e36863a973ee618dd8ba55c72c1f639c7b859efa</t>
  </si>
  <si>
    <t xml:space="preserve">audit manifest</t>
  </si>
  <si>
    <t xml:space="preserve">01_data/audit/audit.json</t>
  </si>
  <si>
    <t xml:space="preserve">json</t>
  </si>
  <si>
    <t xml:space="preserve">7875412bf87b767417431ff68b3b1c458b7dd8265b0967eeb4e0dc0b2eeb8f1f</t>
  </si>
  <si>
    <t xml:space="preserve">audit metrics (machine-readable) + dataset fingerprint</t>
  </si>
  <si>
    <t xml:space="preserve">01_data/audit/data_report.md</t>
  </si>
  <si>
    <t xml:space="preserve">md</t>
  </si>
  <si>
    <t xml:space="preserve">300a7b77f9a00aaeabe1c47b6a77c50f58c9f41bd879a1c9171af8b99d5d174e</t>
  </si>
  <si>
    <t xml:space="preserve">audit report (Vietnamese)</t>
  </si>
  <si>
    <t xml:space="preserve">py</t>
  </si>
  <si>
    <t xml:space="preserve">651e87e1e34d9b889dcf31bbb469577af64f919349a92be19a763f8db2889268</t>
  </si>
  <si>
    <t xml:space="preserve">script kiem toan du lieu (P1)</t>
  </si>
  <si>
    <t xml:space="preserve">a7efd8bd0070df62801eafc5d8e213858f8ca7d8851dafd4d7115d480b886448</t>
  </si>
  <si>
    <t xml:space="preserve">bảng đã gán cột split (train/val/test)</t>
  </si>
  <si>
    <t xml:space="preserve">4e71c3bc4a19ceee2c9bc213bc10aaa7b5c652b8fa88962dd5a37090f0f128d4</t>
  </si>
  <si>
    <t xml:space="preserve">thống kê + fingerprint của lần chia split v1</t>
  </si>
  <si>
    <t xml:space="preserve">eed3ee2f3aa1f8def8944cade841ad0f0a65603832f2ce3a3bcf3410f60da9b7</t>
  </si>
  <si>
    <t xml:space="preserve">script chia train/val/test (P2)</t>
  </si>
  <si>
    <t xml:space="preserve">61a88c960eeb23174f2879c0d3d7bfbc1c25cb58cd6371753c4fde22af5327aa</t>
  </si>
  <si>
    <t xml:space="preserve">định nghĩa bài toán, metric, ràng buộc (P2)</t>
  </si>
  <si>
    <t xml:space="preserve">02_notebooks/eda_train.png</t>
  </si>
  <si>
    <t xml:space="preserve">png</t>
  </si>
  <si>
    <t xml:space="preserve">90a6c5317dc2349675bdb1d1801f76467908513c0ad627b7157dbf6bcb603f03</t>
  </si>
  <si>
    <t xml:space="preserve">biểu đồ EDA (chỉ train): phân phối SalePrice, GrLivArea vs SalePrice, top tương quan</t>
  </si>
  <si>
    <t xml:space="preserve">e45edd39598404486ff8765bedde8eb36d86c3a74629765310d46e6197f24b57</t>
  </si>
  <si>
    <t xml:space="preserve">báo cáo tóm tắt EDA train</t>
  </si>
  <si>
    <t xml:space="preserve">1be7990116f99f9bd87efbf9f313721eb28cb2435ae6838db42cb11808a6bfb2</t>
  </si>
  <si>
    <t xml:space="preserve">script EDA (chỉ train)</t>
  </si>
  <si>
    <t xml:space="preserve">06_reports/eda/eda_report.md</t>
  </si>
  <si>
    <t xml:space="preserve">0cfd619f752c91e02c96e78d2a4e03fd947661986dcc4e19029d27c4006b05c5</t>
  </si>
  <si>
    <t xml:space="preserve">báo cáo EDA cập nhật trên 71 cột (bản mới nhất, ghi đè bản 67 cột)</t>
  </si>
  <si>
    <t xml:space="preserve">06_reports/eda/eda.json</t>
  </si>
  <si>
    <t xml:space="preserve">7673421343082d3c34fed7dd0fe44f2245431094a129fe4c90c17294ab2477cb</t>
  </si>
  <si>
    <t xml:space="preserve">số liệu EDA dạng máy đọc</t>
  </si>
  <si>
    <t xml:space="preserve">06_reports/eda/eda_plots/correlation_heatmap.png</t>
  </si>
  <si>
    <t xml:space="preserve">3f5f9c74b62e31998a215d33b9b0adde52fdfe5afbff94eb932ebc246aa73520</t>
  </si>
  <si>
    <t xml:space="preserve">heatmap tương quan 28 cột số (đại diện cho 30 file trong eda_plots/)</t>
  </si>
  <si>
    <t xml:space="preserve">06_reports/eda/eda_plots/by_group/N1_KhuDat.png</t>
  </si>
  <si>
    <t xml:space="preserve">0f89df917b99bf9c3b9fbe1637c80e93128857dcdc6d01044655885fe30108b6</t>
  </si>
  <si>
    <t xml:space="preserve">biểu đồ quan hệ với SalePrice - nhóm N1_KhuDat</t>
  </si>
  <si>
    <t xml:space="preserve">06_reports/eda/eda_plots/by_group/N2_ViTri.png</t>
  </si>
  <si>
    <t xml:space="preserve">777b6a8d21d058930d17b7dfd0180b2544348f21f87f3108d566ab67fad2711e</t>
  </si>
  <si>
    <t xml:space="preserve">biểu đồ quan hệ với SalePrice - nhóm N2_ViTri</t>
  </si>
  <si>
    <t xml:space="preserve">06_reports/eda/eda_plots/by_group/N3_ChatLuongNha.png</t>
  </si>
  <si>
    <t xml:space="preserve">f9fb7ea094372d691e63d1523ff4e49cfe8203b401b7d13bb3dc7dd79ff8a818</t>
  </si>
  <si>
    <t xml:space="preserve">cập nhật: thêm Fireplaces/FireplaceQu</t>
  </si>
  <si>
    <t xml:space="preserve">06_reports/eda/eda_plots/by_group/N4_MongTangHam.png</t>
  </si>
  <si>
    <t xml:space="preserve">6a4275f39cb430a6a3808f613823a127d183a5f66dc6189fc17c70527dbfee22</t>
  </si>
  <si>
    <t xml:space="preserve">biểu đồ quan hệ với SalePrice - nhóm N4_MongTangHam</t>
  </si>
  <si>
    <t xml:space="preserve">06_reports/eda/eda_plots/by_group/N5_HeThong.png</t>
  </si>
  <si>
    <t xml:space="preserve">ca55ec7afe0d90692548531b0322c5cfb0da3f021f6f1823d7575d1be72e0651</t>
  </si>
  <si>
    <t xml:space="preserve">biểu đồ quan hệ với SalePrice - nhóm N5_HeThong</t>
  </si>
  <si>
    <t xml:space="preserve">06_reports/eda/eda_plots/by_group/N6_DienTichSinhHoat.png</t>
  </si>
  <si>
    <t xml:space="preserve">5f622d6b3107b6ed41e660ed64812557f7f72c1aa90f7cb359999af31d9d96a3</t>
  </si>
  <si>
    <t xml:space="preserve">cập nhật: thêm WoodDeckSF/OpenPorchSF</t>
  </si>
  <si>
    <t xml:space="preserve">06_reports/eda/eda_plots/by_group/N7_Garage.png</t>
  </si>
  <si>
    <t xml:space="preserve">852e464147262b85ce9955dc331cf800db60a04e34771e554c8b4cc10db08849</t>
  </si>
  <si>
    <t xml:space="preserve">biểu đồ quan hệ với SalePrice - nhóm N7_Garage</t>
  </si>
  <si>
    <t xml:space="preserve">06_reports/eda/eda_plots/by_group/N8_DuongVao.png</t>
  </si>
  <si>
    <t xml:space="preserve">eeef2fce42ca349d7ab57e6ca393a2ecad59248598b7a8d235076967a45de4ef</t>
  </si>
  <si>
    <t xml:space="preserve">biểu đồ quan hệ với SalePrice - nhóm N8_DuongVao</t>
  </si>
  <si>
    <t xml:space="preserve">06_reports/eda/eda_plots/by_group/N9_GiaoDich.png</t>
  </si>
  <si>
    <t xml:space="preserve">c104ff353a9c2eed16eadf17e9094d2dc62891e317e7a95e7c6970ae5c05cfb2</t>
  </si>
  <si>
    <t xml:space="preserve">biểu đồ quan hệ với SalePrice - nhóm N9_GiaoDich</t>
  </si>
  <si>
    <t xml:space="preserve">34212d902e49d0fd1db08cdae1e8d5e3f56a856b47f23c3d5423c349070bfa0f</t>
  </si>
  <si>
    <t xml:space="preserve">script vẽ biểu đồ EDA theo nhóm</t>
  </si>
  <si>
    <t xml:space="preserve">3f5ae97f4b679c7d5896f7a2afc77ebfa423c4fec3b46efce8369df2dbf477ae</t>
  </si>
  <si>
    <t xml:space="preserve">báo cáo EDA đầy đủ 79 cột (đối chiếu với 67 cột đã chọn)</t>
  </si>
  <si>
    <t xml:space="preserve">06_reports/eda_full/eda.json</t>
  </si>
  <si>
    <t xml:space="preserve">a860a5548eb7324418525edfb8aa365baf8bc3993f362a50d84796e09890dbe1</t>
  </si>
  <si>
    <t xml:space="preserve">số liệu EDA đầy đủ 79 cột</t>
  </si>
  <si>
    <t xml:space="preserve">267a220b2e4b6fc1317a692e78af9c0660fad859de392081f1b9baa54228bf13</t>
  </si>
  <si>
    <t xml:space="preserve">script EDA chính thức của skill (P4)</t>
  </si>
  <si>
    <t xml:space="preserve">7148d38810b4cacfa875b33ff0da4e434e0867392fd3b69d9e06b20923da7065</t>
  </si>
  <si>
    <t xml:space="preserve">script lọc 71 đặc trưng đã chọn (P4)</t>
  </si>
  <si>
    <t xml:space="preserve">01_data/splits/split_v1_prepped.csv</t>
  </si>
  <si>
    <t xml:space="preserve">423b3d8395fd06c51a182b039182e78e84c006d513c61fddaf2cdefa4a3b3a8a</t>
  </si>
  <si>
    <t xml:space="preserve">bảng 71 đặc trưng sau khi áp quy tắc nghiệp vụ (trước preprocess_tabular.py)</t>
  </si>
  <si>
    <t xml:space="preserve">01_data/processed/preprocessor.joblib</t>
  </si>
  <si>
    <t xml:space="preserve">joblib</t>
  </si>
  <si>
    <t xml:space="preserve">62f7355e882d8c24c83b1c9e3f2fe5b036cf08db361ebd754ceb08da453a27bc</t>
  </si>
  <si>
    <t xml:space="preserve">bộ tiền xử lý đã fit (impute+scale+onehot), dùng để apply cho dữ liệu mới sau này</t>
  </si>
  <si>
    <t xml:space="preserve">01_data/processed/preprocess_meta.json</t>
  </si>
  <si>
    <t xml:space="preserve">c9fe12b871e87f210f2f3e53fcc6f3ca0d0e12e6e001241b5c0eaf4eef8ddf29</t>
  </si>
  <si>
    <t xml:space="preserve">metadata: danh sách cột, tham số impute/scale đã học</t>
  </si>
  <si>
    <t xml:space="preserve">01_data/processed/processed_train.csv</t>
  </si>
  <si>
    <t xml:space="preserve">cc5da2c468bf3986f67b24e65ab0ca0ed4c6166c5b4cc4b605d9c912acc330eb</t>
  </si>
  <si>
    <t xml:space="preserve">dữ liệu train đã tiền xử lý (1020 dòng x 205 đặc trưng)</t>
  </si>
  <si>
    <t xml:space="preserve">01_data/processed/processed_val.csv</t>
  </si>
  <si>
    <t xml:space="preserve">11ff797cd5a7885455f0ee595da251a8a0f604063e3a0570ff20c0a64931c2a6</t>
  </si>
  <si>
    <t xml:space="preserve">dữ liệu val đã tiền xử lý</t>
  </si>
  <si>
    <t xml:space="preserve">01_data/processed/processed_test.csv</t>
  </si>
  <si>
    <t xml:space="preserve">274673333c44f596da90075d477a8de16ae59e29c259be6bd4e40050825a4740</t>
  </si>
  <si>
    <t xml:space="preserve">dữ liệu test đã tiền xử lý (chưa mở, chỉ dùng ở đánh giá cuối)</t>
  </si>
  <si>
    <t xml:space="preserve">183bbc29009277c54b30266eae37b5c3f8d5469a906f90b70b19363deb82d517</t>
  </si>
  <si>
    <t xml:space="preserve">script tiền xử lý chính thức của skill (P5), fit/check/apply</t>
  </si>
  <si>
    <t xml:space="preserve">8256c29b9f6310fa477352621dd19822a1e35ee57f10c02a2a7651b6a5bb121d</t>
  </si>
  <si>
    <t xml:space="preserve">script khởi tạo cấu trúc project (P0)</t>
  </si>
  <si>
    <t xml:space="preserve">b454e4193e94852ed3ea5a03345ef36bb829eb20f848904fbc15458d9986653e</t>
  </si>
  <si>
    <t xml:space="preserve">script ghi change_log.xlsx (dùng xuyên suốt mọi bước)</t>
  </si>
  <si>
    <t xml:space="preserve">script ghi change_log.xlsx (dùng xuyên suốt mọi bước) - đường dẫn mới</t>
  </si>
  <si>
    <t xml:space="preserve">script khởi tạo cấu trúc project (P0) - đường dẫn mới</t>
  </si>
  <si>
    <t xml:space="preserve">script kiểm toán dữ liệu (P1) - đường dẫn mới</t>
  </si>
  <si>
    <t xml:space="preserve">script chia train/val/test (P3) - đường dẫn mới</t>
  </si>
  <si>
    <t xml:space="preserve">script EDA thủ công ban đầu (P4) - đường dẫn mới</t>
  </si>
  <si>
    <t xml:space="preserve">script lọc 71 đặc trưng đã chọn (P4) - đường dẫn mới</t>
  </si>
  <si>
    <t xml:space="preserve">script EDA chính thức của skill (P4) - đường dẫn mới</t>
  </si>
  <si>
    <t xml:space="preserve">script vẽ biểu đồ EDA theo nhóm (P4) - đường dẫn mới</t>
  </si>
  <si>
    <t xml:space="preserve">bf4418ca18dd95b1a0a4c92e127e31851a9521a7285fe3381b3bdcc7fd493009</t>
  </si>
  <si>
    <t xml:space="preserve">script áp quy tắc nghiệp vụ cố định (P5) - đường dẫn mới</t>
  </si>
  <si>
    <t xml:space="preserve">script tiền xử lý chính thức của skill (P5) - đường dẫn mới</t>
  </si>
  <si>
    <t xml:space="preserve">10e12473d54c3046f7276b453c47a6aaf2e7e0affb1d9c7b779190211b7cde6d</t>
  </si>
  <si>
    <t xml:space="preserve">runbook: toàn bộ lệnh chạy lại pipeline P0-P5</t>
  </si>
  <si>
    <t xml:space="preserve">8dcfcb0aaaa552bd2e763d04289ed6dd19cd5337dee39c88d7ed8ecaf71416b7</t>
  </si>
  <si>
    <t xml:space="preserve">script baseline P6 (tầm thường + cổ điển)</t>
  </si>
  <si>
    <t xml:space="preserve">05_experiments/baseline_metrics.json</t>
  </si>
  <si>
    <t xml:space="preserve">1864cda1b390f885c3368c5259ac138c8401769ed118dfef06603b6bf35c55e1</t>
  </si>
  <si>
    <t xml:space="preserve">kết quả 2 baseline (RMSLE/MAE/R2 trên val)</t>
  </si>
  <si>
    <t xml:space="preserve">4b04bc299c4e61abff941534fe53e202450a2aa75fe26dfc4a70cb2a9bc71453</t>
  </si>
  <si>
    <t xml:space="preserve">script baseline Linear Regression (P6)</t>
  </si>
  <si>
    <t xml:space="preserve">05_experiments/linear_regression_coefficients.csv</t>
  </si>
  <si>
    <t xml:space="preserve">33d8616f4caea9d8fc5b4af31c5b9cc216e6ae5f8eeebb6c8cfd49858d0a61b0</t>
  </si>
  <si>
    <t xml:space="preserve">toàn bộ 205 hệ số của Linear Regression (trên log1p(SalePrice))</t>
  </si>
  <si>
    <t xml:space="preserve">05_experiments/linear_regression_metrics.json</t>
  </si>
  <si>
    <t xml:space="preserve">98ecc36ba94621e4f80ca496f0d2a8ced4ee5b662b18f8c97dd0f09545087271</t>
  </si>
  <si>
    <t xml:space="preserve">RMSLE/MAE/R2 của Linear Regression trên val</t>
  </si>
  <si>
    <t xml:space="preserve">cf275c8bd14766fb1928afbc2047e0c5232373f840beb92d98dec3d2dd5461e0</t>
  </si>
  <si>
    <t xml:space="preserve">script baseline Ridge Regression (P6)</t>
  </si>
  <si>
    <t xml:space="preserve">05_experiments/ridge_coefficients.csv</t>
  </si>
  <si>
    <t xml:space="preserve">208d89b42e2cbd25281e03a19754ce9263af1f0ec5c81770d245042253b006e1</t>
  </si>
  <si>
    <t xml:space="preserve">205 hệ số Ridge - đáng tin cậy để diễn giải, khác với bảng Linear Regression thường</t>
  </si>
  <si>
    <t xml:space="preserve">05_experiments/ridge_metrics.json</t>
  </si>
  <si>
    <t xml:space="preserve">841955be76777c4c974c9074a494fa88fb3341007d53682fa4f83cafadd1c047</t>
  </si>
  <si>
    <t xml:space="preserve">RMSLE/MAE/R2 của Ridge trên val</t>
  </si>
  <si>
    <t xml:space="preserve">d9a4d462554d30588e478d4ad58cf90be0da38b7eb02b7c6dfbc29c008db96cc</t>
  </si>
  <si>
    <t xml:space="preserve">script tuning XGBoost (P8, EXP-0005)</t>
  </si>
  <si>
    <t xml:space="preserve">05_experiments/exp005_xgb_tuning_metrics.json</t>
  </si>
  <si>
    <t xml:space="preserve">b136282c49c60f52d1ae231401a97f6e51ee060e2fc7fb6344e1e5a215e1bece</t>
  </si>
  <si>
    <t xml:space="preserve">kết quả + siêu tham số tốt nhất của EXP-0005</t>
  </si>
  <si>
    <t xml:space="preserve">4ab42211b8435e387ccb43c858c9cb9e37624aff380883bb14f8f38dde1473a6</t>
  </si>
  <si>
    <t xml:space="preserve">script đánh giá cuối (P9)</t>
  </si>
  <si>
    <t xml:space="preserve">05_experiments/exp0004_val_bootstrap.json</t>
  </si>
  <si>
    <t xml:space="preserve">dd413655d233383c7178e90b49c19978f4d57aab7ee854c9594876c69a84471d</t>
  </si>
  <si>
    <t xml:space="preserve">bootstrap CI trên val</t>
  </si>
  <si>
    <t xml:space="preserve">05_experiments/exp0004_test_FINAL.json</t>
  </si>
  <si>
    <t xml:space="preserve">263908f2967933ec87ef43a0c5741cecccbc416a5a87d96e0b9dfaf6063ca812</t>
  </si>
  <si>
    <t xml:space="preserve">KẾT QUẢ CUỐI trên test (mở đúng 1 lần)</t>
  </si>
  <si>
    <t xml:space="preserve">05_experiments/exp0004_test_predictions.csv</t>
  </si>
  <si>
    <t xml:space="preserve">686922406e56e11bab0eb36782830bc850ddf619b775937aef202ce57fed56cc</t>
  </si>
  <si>
    <t xml:space="preserve">chi tiết dự đoán trên test</t>
  </si>
  <si>
    <t xml:space="preserve">d5195e77deb345a21aa3fa15b798d8c8a01564f0801f673cfd8fcb033d281fe9</t>
  </si>
  <si>
    <t xml:space="preserve">chi tiết dự đoán trên val, dùng để phân tích lỗi</t>
  </si>
  <si>
    <t xml:space="preserve">4e96085477708d5ae3c7f0bb03792a4de3a9eb21df3f0f08563211d5c2219849</t>
  </si>
  <si>
    <t xml:space="preserve">báo cáo cuối dự án (P9-P11)</t>
  </si>
  <si>
    <t xml:space="preserve">849476c69083f4750c098e9f0a6c16b4bfb1554d346329ee8872a0856be9b1ee</t>
  </si>
  <si>
    <t xml:space="preserve">script lưu checkpoint mô hình cuối</t>
  </si>
  <si>
    <t xml:space="preserve">a8f2688ebc2683f07457782cc411beee201d215bd1d69050177839b3537b24ce</t>
  </si>
  <si>
    <t xml:space="preserve">script suy luận độc lập trên dữ liệu thô (P10)</t>
  </si>
  <si>
    <t xml:space="preserve">01_data/processed/final_model_ridge.joblib</t>
  </si>
  <si>
    <t xml:space="preserve">cd4d2f74cc21b79c8f35b255ef3ba68e28da44e5b529545edb4bf0b057dd372d</t>
  </si>
  <si>
    <t xml:space="preserve">checkpoint mô hình cuối (Ridge alpha=30)</t>
  </si>
  <si>
    <t xml:space="preserve">01_data/processed/final_model_meta.json</t>
  </si>
  <si>
    <t xml:space="preserve">bc1455beab6220bb21a2cc43b97e65e54a9288c13eef68e0afe76bc646a91bd6</t>
  </si>
  <si>
    <t xml:space="preserve">metadata checkpoint: config, seed, hash dữ liệu</t>
  </si>
  <si>
    <t xml:space="preserve">93e95ca56bd0db1295d65db1318c444c1e65ef1be8bfd0cbf74cefa59c82adba</t>
  </si>
  <si>
    <t xml:space="preserve">model card</t>
  </si>
  <si>
    <t xml:space="preserve">Exp_ID</t>
  </si>
  <si>
    <t xml:space="preserve">Giờ</t>
  </si>
  <si>
    <t xml:space="preserve">Mục_tiêu/Giả_thuyết</t>
  </si>
  <si>
    <t xml:space="preserve">Exp_cha</t>
  </si>
  <si>
    <t xml:space="preserve">Thay_đổi_so_với_exp_cha</t>
  </si>
  <si>
    <t xml:space="preserve">Model</t>
  </si>
  <si>
    <t xml:space="preserve">Số_tham_số</t>
  </si>
  <si>
    <t xml:space="preserve">Phiên_bản_dữ_liệu/Split</t>
  </si>
  <si>
    <t xml:space="preserve">Đường_dẫn_config</t>
  </si>
  <si>
    <t xml:space="preserve">Hash_config</t>
  </si>
  <si>
    <t xml:space="preserve">Seed</t>
  </si>
  <si>
    <t xml:space="preserve">Epochs</t>
  </si>
  <si>
    <t xml:space="preserve">Batch</t>
  </si>
  <si>
    <t xml:space="preserve">Optimizer</t>
  </si>
  <si>
    <t xml:space="preserve">LR</t>
  </si>
  <si>
    <t xml:space="preserve">Augmentation</t>
  </si>
  <si>
    <t xml:space="preserve">Tên_metric</t>
  </si>
  <si>
    <t xml:space="preserve">Train_metric</t>
  </si>
  <si>
    <t xml:space="preserve">Val_metric</t>
  </si>
  <si>
    <t xml:space="preserve">Test_metric (chỉ mô hình cuối)</t>
  </si>
  <si>
    <t xml:space="preserve">Thời_gian_train</t>
  </si>
  <si>
    <t xml:space="preserve">Phần_cứng</t>
  </si>
  <si>
    <t xml:space="preserve">Checkpoint</t>
  </si>
  <si>
    <t xml:space="preserve">Kết_luận</t>
  </si>
  <si>
    <t xml:space="preserve">EXP-0001</t>
  </si>
  <si>
    <t xml:space="preserve">Baseline tam thuong (G3) - moc san de so sanh moi mo hinh sau nay</t>
  </si>
  <si>
    <t xml:space="preserve">constant_mean</t>
  </si>
  <si>
    <t xml:space="preserve">split_v1_prepped (sau P5)</t>
  </si>
  <si>
    <t xml:space="preserve">RMSLE</t>
  </si>
  <si>
    <t xml:space="preserve">Du doan hang so = trung binh SalePrice(train)=180921. MAE=58299, R2=-0.007 (gan 0, dung nghia la khong giai thich duoc gi). Day la san duoi cung, moi mo hinh phai vuot xa con so nay.</t>
  </si>
  <si>
    <t xml:space="preserve">EXP-0002</t>
  </si>
  <si>
    <t xml:space="preserve">Baseline co dien (G3) - XGBoost tren 205 dac trung da tien xu ly</t>
  </si>
  <si>
    <t xml:space="preserve">XGBRegressor(n_estimators=500, lr=0.05, max_depth=4, subsample=0.8, colsample_bytree=0.8)</t>
  </si>
  <si>
    <t xml:space="preserve">split_v1_prepped (sau P5), fit tren log1p(SalePrice)</t>
  </si>
  <si>
    <t xml:space="preserve">RMSLE=0.1267 (val), MAE=15637, R2=0.910. Vuot baseline tam thuong rat xa (RMSLE giam tu 0.406 xuong 0.127, R2 tu -0.007 len 0.910). Xac nhan huong ML (khong DL) la hop ly cho du lieu bang nay, dung theo nguyen tac 8 cua skill.</t>
  </si>
  <si>
    <t xml:space="preserve">EXP-0003</t>
  </si>
  <si>
    <t xml:space="preserve">Baseline bo sung theo yeu cau nguoi dung: Linear Regression de tinh tham so/he so tung dac trung</t>
  </si>
  <si>
    <t xml:space="preserve">LinearRegression (scikit-learn, khong regularization)</t>
  </si>
  <si>
    <t xml:space="preserve">RMSLE=0.1143, MAE=13322, R2=0.948 - tot hon ca XGBoost baseline (EXP-0002: RMSLE=0.1267). CANH BAO khi doc he so: 15/15 he so lon nhat deu la cac cot one-hot cua muc hang muc HIEM (vd Condition2_RRAe, Exterior1st_BrkComm - chi vai mau), day la dau hieu phuong sai he so cao do qua it quan sat, KHONG phai bang chung do quan trong thuc su. Can dung Ridge/Lasso (co regularization) neu muon doc he so on dinh, dang tin cay hon.</t>
  </si>
  <si>
    <t xml:space="preserve">EXP-0004</t>
  </si>
  <si>
    <t xml:space="preserve">Ridge Regression (L2) de co bang he so on dinh, dang tin cay hon Linear Regression thuong (EXP-0003)</t>
  </si>
  <si>
    <t xml:space="preserve">RidgeCV(alphas=[0.1..1000], cv=5, chon alpha bang CV tren TRAIN)</t>
  </si>
  <si>
    <t xml:space="preserve">Test RMSLE=0.1301 (MAE=$14280, R2=0.943, bootstrap 95% CI=[0.099,0.159], n=219). Mo test dung 1 lan, xem LOG-0064 (DECISION mo test) va LOG-0065 (RUN).</t>
  </si>
  <si>
    <t xml:space="preserve">EXP-0005</t>
  </si>
  <si>
    <t xml:space="preserve">P8, gia thuyet: tinh chinh sieu tham so XGBoost bang RandomizedSearchCV (5-fold CV tren TRAIN) se cai thien so voi XGBoost mac dinh EXP-0002</t>
  </si>
  <si>
    <t xml:space="preserve">XGBRegressor (best params tu RandomizedSearchCV, 60 iter): max_depth=2, n_estimators=1200, lr=0.03, subsample=0.7, colsample_bytree=1.0, reg_alpha=0.1, reg_lambda=1.5, min_child_weight=2</t>
  </si>
  <si>
    <t xml:space="preserve">Cai thien so voi XGBoost mac dinh (EXP-0002: 0.1267 -&gt; 0.1245, giam nhe). Nhung VAN KEM HON Ridge (EXP-0004: 0.1155) va Linear Regression (EXP-0003: 0.1143). Dieu nay cung co gia thuyet: voi 205 dac trung da duoc feature-engineer tot (one-hot + ordinal), quan he voi log(SalePrice) chu yeu la TUYEN TINH, nen mo hinh tuyen tinh co regularization dang thang the hon cay quyet dinh o quy mo du lieu nho (1020 dong). Gia thuyet tiep theo dang can nhac: stacking Ridge+XGBoost, hoac feature engineering them (interaction terms).</t>
  </si>
  <si>
    <t xml:space="preserve">Thống kê nhật ký (công thức - chạy recalc.py để cập nhật giá trị cache)</t>
  </si>
  <si>
    <t xml:space="preserve">Tổng số dòng log</t>
  </si>
  <si>
    <t xml:space="preserve">Tổng số thí nghiệm</t>
  </si>
  <si>
    <t xml:space="preserve">Tổng số finding</t>
  </si>
  <si>
    <t xml:space="preserve">Thí nghiệm Done</t>
  </si>
  <si>
    <t xml:space="preserve">Finding còn Open</t>
  </si>
  <si>
    <t xml:space="preserve">Thí nghiệm Failed</t>
  </si>
  <si>
    <t xml:space="preserve">Theo loại hành động</t>
  </si>
  <si>
    <t xml:space="preserve">EXPLORE</t>
  </si>
  <si>
    <t xml:space="preserve">DISCOVER</t>
  </si>
  <si>
    <t xml:space="preserve">DELETE</t>
  </si>
  <si>
    <t xml:space="preserve">Theo trạng thái</t>
  </si>
  <si>
    <t xml:space="preserve">Needs-confirmation</t>
  </si>
  <si>
    <t xml:space="preserve">Reverted</t>
  </si>
  <si>
    <t xml:space="preserve">Theo mức độ</t>
  </si>
  <si>
    <t xml:space="preserve">Critical</t>
  </si>
</sst>
</file>

<file path=xl/styles.xml><?xml version="1.0" encoding="utf-8"?>
<styleSheet xmlns="http://schemas.openxmlformats.org/spreadsheetml/2006/main">
  <numFmts count="3">
    <numFmt numFmtId="164" formatCode="General"/>
    <numFmt numFmtId="165" formatCode="dd/mm/yyyy"/>
    <numFmt numFmtId="166" formatCode="hh:mm:ss"/>
  </numFmts>
  <fonts count="10">
    <font>
      <sz val="11"/>
      <color theme="1"/>
      <name val="Calibri"/>
      <family val="2"/>
      <charset val="1"/>
    </font>
    <font>
      <sz val="10"/>
      <name val="Arial"/>
      <family val="0"/>
    </font>
    <font>
      <sz val="10"/>
      <name val="Arial"/>
      <family val="0"/>
    </font>
    <font>
      <sz val="10"/>
      <name val="Arial"/>
      <family val="0"/>
    </font>
    <font>
      <b val="true"/>
      <sz val="12"/>
      <name val="Times New Roman"/>
      <family val="0"/>
      <charset val="1"/>
    </font>
    <font>
      <sz val="10"/>
      <name val="Times New Roman"/>
      <family val="0"/>
      <charset val="1"/>
    </font>
    <font>
      <b val="true"/>
      <sz val="10"/>
      <name val="Times New Roman"/>
      <family val="0"/>
      <charset val="1"/>
    </font>
    <font>
      <b val="true"/>
      <sz val="10"/>
      <color rgb="FFFFFFFF"/>
      <name val="Times New Roman"/>
      <family val="0"/>
      <charset val="1"/>
    </font>
    <font>
      <sz val="10"/>
      <name val="Arial"/>
      <family val="0"/>
      <charset val="1"/>
    </font>
    <font>
      <b val="true"/>
      <sz val="11"/>
      <name val="Times New Roman"/>
      <family val="0"/>
      <charset val="1"/>
    </font>
  </fonts>
  <fills count="4">
    <fill>
      <patternFill patternType="none"/>
    </fill>
    <fill>
      <patternFill patternType="gray125"/>
    </fill>
    <fill>
      <patternFill patternType="solid">
        <fgColor rgb="FF1F3864"/>
        <bgColor rgb="FF333333"/>
      </patternFill>
    </fill>
    <fill>
      <patternFill patternType="solid">
        <fgColor rgb="FFFCE4D6"/>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xf numFmtId="166" fontId="5"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fgColor rgb="FF1F3864"/>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110"/>
  </cols>
  <sheetData>
    <row r="1" customFormat="false" ht="15" hidden="false" customHeight="true" outlineLevel="0" collapsed="false">
      <c r="A1" s="2" t="s">
        <v>0</v>
      </c>
      <c r="B1" s="3"/>
    </row>
    <row r="2" customFormat="false" ht="15" hidden="false" customHeight="true" outlineLevel="0" collapsed="false">
      <c r="A2" s="4" t="s">
        <v>1</v>
      </c>
      <c r="B2" s="3" t="s">
        <v>2</v>
      </c>
    </row>
    <row r="3" customFormat="false" ht="23.25" hidden="false" customHeight="true" outlineLevel="0" collapsed="false">
      <c r="A3" s="4" t="s">
        <v>3</v>
      </c>
      <c r="B3" s="3" t="s">
        <v>4</v>
      </c>
    </row>
    <row r="4" customFormat="false" ht="15" hidden="false" customHeight="true" outlineLevel="0" collapsed="false">
      <c r="A4" s="4" t="s">
        <v>5</v>
      </c>
      <c r="B4" s="3" t="s">
        <v>6</v>
      </c>
    </row>
    <row r="5" customFormat="false" ht="15" hidden="false" customHeight="true" outlineLevel="0" collapsed="false">
      <c r="A5" s="4" t="s">
        <v>7</v>
      </c>
      <c r="B5" s="3" t="s">
        <v>8</v>
      </c>
    </row>
    <row r="6" customFormat="false" ht="15" hidden="false" customHeight="true" outlineLevel="0" collapsed="false">
      <c r="A6" s="4" t="s">
        <v>9</v>
      </c>
      <c r="B6" s="3" t="s">
        <v>10</v>
      </c>
    </row>
    <row r="7" customFormat="false" ht="15" hidden="false" customHeight="true" outlineLevel="0" collapsed="false">
      <c r="A7" s="4" t="s">
        <v>11</v>
      </c>
      <c r="B7" s="3" t="s">
        <v>12</v>
      </c>
    </row>
    <row r="8" customFormat="false" ht="15" hidden="false" customHeight="true" outlineLevel="0" collapsed="false">
      <c r="A8" s="4" t="s">
        <v>13</v>
      </c>
      <c r="B8" s="3" t="s">
        <v>14</v>
      </c>
    </row>
    <row r="9" customFormat="false" ht="15" hidden="false" customHeight="true" outlineLevel="0" collapsed="false">
      <c r="A9" s="4" t="s">
        <v>15</v>
      </c>
      <c r="B9" s="3" t="s">
        <v>16</v>
      </c>
    </row>
    <row r="10" customFormat="false" ht="23.25" hidden="false" customHeight="true" outlineLevel="0" collapsed="false">
      <c r="A10" s="4" t="s">
        <v>17</v>
      </c>
      <c r="B10" s="3" t="s">
        <v>18</v>
      </c>
    </row>
    <row r="11" customFormat="false" ht="15" hidden="false" customHeight="true" outlineLevel="0" collapsed="false">
      <c r="A11" s="4" t="s">
        <v>19</v>
      </c>
      <c r="B11" s="3" t="s">
        <v>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14"/>
    <col collapsed="false" customWidth="true" hidden="false" outlineLevel="0" max="3" min="3" style="1" width="11"/>
    <col collapsed="false" customWidth="true" hidden="false" outlineLevel="0" max="5" min="4" style="1" width="14"/>
    <col collapsed="false" customWidth="true" hidden="false" outlineLevel="0" max="6" min="6" style="1" width="16"/>
    <col collapsed="false" customWidth="true" hidden="false" outlineLevel="0" max="7" min="7" style="1" width="10"/>
    <col collapsed="false" customWidth="true" hidden="false" outlineLevel="0" max="8" min="8" style="1" width="16"/>
    <col collapsed="false" customWidth="true" hidden="false" outlineLevel="0" max="9" min="9" style="1" width="14"/>
    <col collapsed="false" customWidth="true" hidden="false" outlineLevel="0" max="10" min="10" style="1" width="20"/>
    <col collapsed="false" customWidth="true" hidden="false" outlineLevel="0" max="11" min="11" style="1" width="26"/>
    <col collapsed="false" customWidth="true" hidden="false" outlineLevel="0" max="12" min="12" style="1" width="44"/>
    <col collapsed="false" customWidth="true" hidden="false" outlineLevel="0" max="13" min="13" style="1" width="22"/>
    <col collapsed="false" customWidth="true" hidden="false" outlineLevel="0" max="14" min="14" style="1" width="60"/>
    <col collapsed="false" customWidth="true" hidden="false" outlineLevel="0" max="17" min="15" style="1" width="40"/>
    <col collapsed="false" customWidth="true" hidden="false" outlineLevel="0" max="18" min="18" style="1" width="11"/>
    <col collapsed="false" customWidth="true" hidden="false" outlineLevel="0" max="19" min="19" style="1" width="18"/>
    <col collapsed="false" customWidth="true" hidden="false" outlineLevel="0" max="20" min="20" style="1" width="40"/>
    <col collapsed="false" customWidth="true" hidden="false" outlineLevel="0" max="21" min="21" style="1" width="16"/>
    <col collapsed="false" customWidth="true" hidden="false" outlineLevel="0" max="22" min="22" style="1" width="40"/>
    <col collapsed="false" customWidth="true" hidden="false" outlineLevel="0" max="24" min="23" style="1" width="34"/>
  </cols>
  <sheetData>
    <row r="1" customFormat="false" ht="31.5" hidden="false" customHeight="true" outlineLevel="0" collapsed="false">
      <c r="A1" s="5" t="s">
        <v>21</v>
      </c>
      <c r="B1" s="5" t="s">
        <v>22</v>
      </c>
      <c r="C1" s="5" t="s">
        <v>23</v>
      </c>
      <c r="D1" s="5" t="s">
        <v>15</v>
      </c>
      <c r="E1" s="5" t="s">
        <v>24</v>
      </c>
      <c r="F1" s="5" t="s">
        <v>5</v>
      </c>
      <c r="G1" s="5" t="s">
        <v>25</v>
      </c>
      <c r="H1" s="5" t="s">
        <v>7</v>
      </c>
      <c r="I1" s="5" t="s">
        <v>3</v>
      </c>
      <c r="J1" s="5" t="s">
        <v>26</v>
      </c>
      <c r="K1" s="5" t="s">
        <v>27</v>
      </c>
      <c r="L1" s="5" t="s">
        <v>28</v>
      </c>
      <c r="M1" s="5" t="s">
        <v>29</v>
      </c>
      <c r="N1" s="5" t="s">
        <v>30</v>
      </c>
      <c r="O1" s="5" t="s">
        <v>31</v>
      </c>
      <c r="P1" s="5" t="s">
        <v>32</v>
      </c>
      <c r="Q1" s="5" t="s">
        <v>33</v>
      </c>
      <c r="R1" s="5" t="s">
        <v>9</v>
      </c>
      <c r="S1" s="5" t="s">
        <v>11</v>
      </c>
      <c r="T1" s="5" t="s">
        <v>34</v>
      </c>
      <c r="U1" s="5" t="s">
        <v>35</v>
      </c>
      <c r="V1" s="5" t="s">
        <v>36</v>
      </c>
      <c r="W1" s="5" t="s">
        <v>37</v>
      </c>
      <c r="X1" s="5" t="s">
        <v>38</v>
      </c>
    </row>
    <row r="2" customFormat="false" ht="23.25" hidden="false" customHeight="true" outlineLevel="0" collapsed="false">
      <c r="A2" s="6" t="s">
        <v>39</v>
      </c>
      <c r="B2" s="7" t="n">
        <v>46287</v>
      </c>
      <c r="C2" s="8" t="n">
        <v>0.491342592592593</v>
      </c>
      <c r="D2" s="6" t="s">
        <v>40</v>
      </c>
      <c r="E2" s="6" t="s">
        <v>41</v>
      </c>
      <c r="F2" s="6" t="s">
        <v>42</v>
      </c>
      <c r="G2" s="6" t="s">
        <v>43</v>
      </c>
      <c r="H2" s="6" t="s">
        <v>44</v>
      </c>
      <c r="I2" s="6" t="s">
        <v>45</v>
      </c>
      <c r="J2" s="6" t="s">
        <v>46</v>
      </c>
      <c r="K2" s="6" t="s">
        <v>47</v>
      </c>
      <c r="L2" s="6" t="s">
        <v>48</v>
      </c>
      <c r="M2" s="6"/>
      <c r="N2" s="6" t="s">
        <v>49</v>
      </c>
      <c r="O2" s="6" t="s">
        <v>50</v>
      </c>
      <c r="P2" s="6"/>
      <c r="Q2" s="6"/>
      <c r="R2" s="6" t="s">
        <v>51</v>
      </c>
      <c r="S2" s="6" t="s">
        <v>52</v>
      </c>
      <c r="T2" s="6"/>
      <c r="U2" s="6"/>
      <c r="V2" s="6"/>
      <c r="W2" s="6" t="s">
        <v>53</v>
      </c>
      <c r="X2" s="6"/>
    </row>
    <row r="3" customFormat="false" ht="23.25" hidden="false" customHeight="true" outlineLevel="0" collapsed="false">
      <c r="A3" s="6" t="s">
        <v>54</v>
      </c>
      <c r="B3" s="7" t="n">
        <v>46287</v>
      </c>
      <c r="C3" s="8" t="n">
        <v>0.491342592592593</v>
      </c>
      <c r="D3" s="6" t="s">
        <v>40</v>
      </c>
      <c r="E3" s="6" t="s">
        <v>41</v>
      </c>
      <c r="F3" s="6" t="s">
        <v>42</v>
      </c>
      <c r="G3" s="6" t="s">
        <v>43</v>
      </c>
      <c r="H3" s="6" t="s">
        <v>44</v>
      </c>
      <c r="I3" s="6" t="s">
        <v>45</v>
      </c>
      <c r="J3" s="6" t="s">
        <v>55</v>
      </c>
      <c r="K3" s="6" t="s">
        <v>56</v>
      </c>
      <c r="L3" s="6" t="s">
        <v>57</v>
      </c>
      <c r="M3" s="6"/>
      <c r="N3" s="6" t="s">
        <v>58</v>
      </c>
      <c r="O3" s="6" t="s">
        <v>59</v>
      </c>
      <c r="P3" s="6"/>
      <c r="Q3" s="6"/>
      <c r="R3" s="6" t="s">
        <v>51</v>
      </c>
      <c r="S3" s="6" t="s">
        <v>52</v>
      </c>
      <c r="T3" s="6"/>
      <c r="U3" s="6"/>
      <c r="V3" s="6"/>
      <c r="W3" s="6" t="s">
        <v>53</v>
      </c>
      <c r="X3" s="6"/>
    </row>
    <row r="4" customFormat="false" ht="34.5" hidden="false" customHeight="true" outlineLevel="0" collapsed="false">
      <c r="A4" s="6" t="s">
        <v>60</v>
      </c>
      <c r="B4" s="7" t="n">
        <v>46287</v>
      </c>
      <c r="C4" s="8" t="n">
        <v>0.491516203703704</v>
      </c>
      <c r="D4" s="6" t="s">
        <v>40</v>
      </c>
      <c r="E4" s="6" t="s">
        <v>41</v>
      </c>
      <c r="F4" s="6" t="s">
        <v>42</v>
      </c>
      <c r="G4" s="6" t="s">
        <v>43</v>
      </c>
      <c r="H4" s="6" t="s">
        <v>44</v>
      </c>
      <c r="I4" s="6" t="s">
        <v>61</v>
      </c>
      <c r="J4" s="6" t="s">
        <v>46</v>
      </c>
      <c r="K4" s="6"/>
      <c r="L4" s="6"/>
      <c r="M4" s="6"/>
      <c r="N4" s="6" t="s">
        <v>62</v>
      </c>
      <c r="O4" s="6" t="s">
        <v>63</v>
      </c>
      <c r="P4" s="6"/>
      <c r="Q4" s="6"/>
      <c r="R4" s="6" t="s">
        <v>51</v>
      </c>
      <c r="S4" s="6" t="s">
        <v>52</v>
      </c>
      <c r="T4" s="6"/>
      <c r="U4" s="6"/>
      <c r="V4" s="6"/>
      <c r="W4" s="6"/>
      <c r="X4" s="6"/>
    </row>
    <row r="5" customFormat="false" ht="23.25" hidden="false" customHeight="true" outlineLevel="0" collapsed="false">
      <c r="A5" s="6" t="s">
        <v>64</v>
      </c>
      <c r="B5" s="7" t="n">
        <v>46287</v>
      </c>
      <c r="C5" s="8" t="n">
        <v>0.491516203703704</v>
      </c>
      <c r="D5" s="6" t="s">
        <v>40</v>
      </c>
      <c r="E5" s="6" t="s">
        <v>41</v>
      </c>
      <c r="F5" s="6" t="s">
        <v>42</v>
      </c>
      <c r="G5" s="6" t="s">
        <v>43</v>
      </c>
      <c r="H5" s="6" t="s">
        <v>44</v>
      </c>
      <c r="I5" s="6" t="s">
        <v>61</v>
      </c>
      <c r="J5" s="6" t="s">
        <v>46</v>
      </c>
      <c r="K5" s="6"/>
      <c r="L5" s="6"/>
      <c r="M5" s="6"/>
      <c r="N5" s="6" t="s">
        <v>65</v>
      </c>
      <c r="O5" s="6" t="s">
        <v>66</v>
      </c>
      <c r="P5" s="6"/>
      <c r="Q5" s="6"/>
      <c r="R5" s="6" t="s">
        <v>51</v>
      </c>
      <c r="S5" s="6" t="s">
        <v>52</v>
      </c>
      <c r="T5" s="6"/>
      <c r="U5" s="6"/>
      <c r="V5" s="6"/>
      <c r="W5" s="6"/>
      <c r="X5" s="6"/>
    </row>
    <row r="6" customFormat="false" ht="34.5" hidden="false" customHeight="true" outlineLevel="0" collapsed="false">
      <c r="A6" s="6" t="s">
        <v>67</v>
      </c>
      <c r="B6" s="7" t="n">
        <v>46287</v>
      </c>
      <c r="C6" s="8" t="n">
        <v>0.491527777777778</v>
      </c>
      <c r="D6" s="6" t="s">
        <v>40</v>
      </c>
      <c r="E6" s="6" t="s">
        <v>41</v>
      </c>
      <c r="F6" s="6" t="s">
        <v>42</v>
      </c>
      <c r="G6" s="6" t="s">
        <v>43</v>
      </c>
      <c r="H6" s="6" t="s">
        <v>44</v>
      </c>
      <c r="I6" s="6" t="s">
        <v>61</v>
      </c>
      <c r="J6" s="6" t="s">
        <v>46</v>
      </c>
      <c r="K6" s="6"/>
      <c r="L6" s="6"/>
      <c r="M6" s="6"/>
      <c r="N6" s="6" t="s">
        <v>68</v>
      </c>
      <c r="O6" s="6" t="s">
        <v>69</v>
      </c>
      <c r="P6" s="6"/>
      <c r="Q6" s="6"/>
      <c r="R6" s="6" t="s">
        <v>51</v>
      </c>
      <c r="S6" s="6" t="s">
        <v>52</v>
      </c>
      <c r="T6" s="6"/>
      <c r="U6" s="6"/>
      <c r="V6" s="6"/>
      <c r="W6" s="6"/>
      <c r="X6" s="6"/>
    </row>
    <row r="7" customFormat="false" ht="34.5" hidden="false" customHeight="true" outlineLevel="0" collapsed="false">
      <c r="A7" s="6" t="s">
        <v>70</v>
      </c>
      <c r="B7" s="7" t="n">
        <v>46287</v>
      </c>
      <c r="C7" s="8" t="n">
        <v>0.496064814814815</v>
      </c>
      <c r="D7" s="6" t="s">
        <v>40</v>
      </c>
      <c r="E7" s="6" t="s">
        <v>41</v>
      </c>
      <c r="F7" s="6" t="s">
        <v>42</v>
      </c>
      <c r="G7" s="6" t="s">
        <v>43</v>
      </c>
      <c r="H7" s="6" t="s">
        <v>44</v>
      </c>
      <c r="I7" s="6" t="s">
        <v>45</v>
      </c>
      <c r="J7" s="6" t="s">
        <v>71</v>
      </c>
      <c r="K7" s="6" t="s">
        <v>72</v>
      </c>
      <c r="L7" s="6" t="s">
        <v>72</v>
      </c>
      <c r="M7" s="6"/>
      <c r="N7" s="6" t="s">
        <v>73</v>
      </c>
      <c r="O7" s="6"/>
      <c r="P7" s="6"/>
      <c r="Q7" s="6"/>
      <c r="R7" s="6" t="s">
        <v>51</v>
      </c>
      <c r="S7" s="6" t="s">
        <v>52</v>
      </c>
      <c r="T7" s="6" t="s">
        <v>74</v>
      </c>
      <c r="U7" s="6"/>
      <c r="V7" s="6"/>
      <c r="W7" s="6"/>
      <c r="X7" s="6"/>
    </row>
    <row r="8" customFormat="false" ht="23.25" hidden="false" customHeight="true" outlineLevel="0" collapsed="false">
      <c r="A8" s="6" t="s">
        <v>75</v>
      </c>
      <c r="B8" s="7" t="n">
        <v>46287</v>
      </c>
      <c r="C8" s="8" t="n">
        <v>0.496064814814815</v>
      </c>
      <c r="D8" s="6" t="s">
        <v>40</v>
      </c>
      <c r="E8" s="6" t="s">
        <v>41</v>
      </c>
      <c r="F8" s="6" t="s">
        <v>42</v>
      </c>
      <c r="G8" s="6" t="s">
        <v>43</v>
      </c>
      <c r="H8" s="6" t="s">
        <v>44</v>
      </c>
      <c r="I8" s="6" t="s">
        <v>45</v>
      </c>
      <c r="J8" s="6" t="s">
        <v>71</v>
      </c>
      <c r="K8" s="6" t="s">
        <v>76</v>
      </c>
      <c r="L8" s="6" t="s">
        <v>76</v>
      </c>
      <c r="M8" s="6"/>
      <c r="N8" s="6" t="s">
        <v>77</v>
      </c>
      <c r="O8" s="6"/>
      <c r="P8" s="6"/>
      <c r="Q8" s="6"/>
      <c r="R8" s="6" t="s">
        <v>51</v>
      </c>
      <c r="S8" s="6" t="s">
        <v>52</v>
      </c>
      <c r="T8" s="6" t="s">
        <v>78</v>
      </c>
      <c r="U8" s="6"/>
      <c r="V8" s="6"/>
      <c r="W8" s="6"/>
      <c r="X8" s="6"/>
    </row>
    <row r="9" customFormat="false" ht="23.25" hidden="false" customHeight="true" outlineLevel="0" collapsed="false">
      <c r="A9" s="6" t="s">
        <v>79</v>
      </c>
      <c r="B9" s="7" t="n">
        <v>46287</v>
      </c>
      <c r="C9" s="8" t="n">
        <v>0.496076388888889</v>
      </c>
      <c r="D9" s="6" t="s">
        <v>40</v>
      </c>
      <c r="E9" s="6" t="s">
        <v>41</v>
      </c>
      <c r="F9" s="6" t="s">
        <v>42</v>
      </c>
      <c r="G9" s="6" t="s">
        <v>43</v>
      </c>
      <c r="H9" s="6" t="s">
        <v>44</v>
      </c>
      <c r="I9" s="6" t="s">
        <v>45</v>
      </c>
      <c r="J9" s="6" t="s">
        <v>71</v>
      </c>
      <c r="K9" s="6" t="s">
        <v>80</v>
      </c>
      <c r="L9" s="6" t="s">
        <v>80</v>
      </c>
      <c r="M9" s="6"/>
      <c r="N9" s="6" t="s">
        <v>81</v>
      </c>
      <c r="O9" s="6"/>
      <c r="P9" s="6"/>
      <c r="Q9" s="6"/>
      <c r="R9" s="6" t="s">
        <v>51</v>
      </c>
      <c r="S9" s="6" t="s">
        <v>52</v>
      </c>
      <c r="T9" s="6"/>
      <c r="U9" s="6"/>
      <c r="V9" s="6"/>
      <c r="W9" s="6"/>
      <c r="X9" s="6"/>
    </row>
    <row r="10" customFormat="false" ht="23.25" hidden="false" customHeight="true" outlineLevel="0" collapsed="false">
      <c r="A10" s="6" t="s">
        <v>82</v>
      </c>
      <c r="B10" s="7" t="n">
        <v>46287</v>
      </c>
      <c r="C10" s="8" t="n">
        <v>0.504305555555556</v>
      </c>
      <c r="D10" s="6" t="s">
        <v>40</v>
      </c>
      <c r="E10" s="6" t="s">
        <v>41</v>
      </c>
      <c r="F10" s="6" t="s">
        <v>42</v>
      </c>
      <c r="G10" s="6" t="s">
        <v>43</v>
      </c>
      <c r="H10" s="6" t="s">
        <v>83</v>
      </c>
      <c r="I10" s="6" t="s">
        <v>61</v>
      </c>
      <c r="J10" s="6" t="s">
        <v>84</v>
      </c>
      <c r="K10" s="6"/>
      <c r="L10" s="6"/>
      <c r="M10" s="6"/>
      <c r="N10" s="6" t="s">
        <v>85</v>
      </c>
      <c r="O10" s="6" t="s">
        <v>86</v>
      </c>
      <c r="P10" s="6"/>
      <c r="Q10" s="6"/>
      <c r="R10" s="6" t="s">
        <v>51</v>
      </c>
      <c r="S10" s="6" t="s">
        <v>52</v>
      </c>
      <c r="T10" s="6"/>
      <c r="U10" s="6"/>
      <c r="V10" s="6"/>
      <c r="W10" s="6"/>
      <c r="X10" s="6"/>
    </row>
    <row r="11" customFormat="false" ht="23.25" hidden="false" customHeight="true" outlineLevel="0" collapsed="false">
      <c r="A11" s="6" t="s">
        <v>87</v>
      </c>
      <c r="B11" s="7" t="n">
        <v>46287</v>
      </c>
      <c r="C11" s="8" t="n">
        <v>0.50431712962963</v>
      </c>
      <c r="D11" s="6" t="s">
        <v>40</v>
      </c>
      <c r="E11" s="6" t="s">
        <v>41</v>
      </c>
      <c r="F11" s="6" t="s">
        <v>42</v>
      </c>
      <c r="G11" s="6" t="s">
        <v>43</v>
      </c>
      <c r="H11" s="6" t="s">
        <v>83</v>
      </c>
      <c r="I11" s="6" t="s">
        <v>88</v>
      </c>
      <c r="J11" s="6" t="s">
        <v>84</v>
      </c>
      <c r="K11" s="6"/>
      <c r="L11" s="6"/>
      <c r="M11" s="6"/>
      <c r="N11" s="6" t="s">
        <v>89</v>
      </c>
      <c r="O11" s="6"/>
      <c r="P11" s="6"/>
      <c r="Q11" s="6"/>
      <c r="R11" s="6" t="s">
        <v>51</v>
      </c>
      <c r="S11" s="6" t="s">
        <v>52</v>
      </c>
      <c r="T11" s="6"/>
      <c r="U11" s="6"/>
      <c r="V11" s="6"/>
      <c r="W11" s="6"/>
      <c r="X11" s="6"/>
    </row>
    <row r="12" customFormat="false" ht="79.5" hidden="false" customHeight="true" outlineLevel="0" collapsed="false">
      <c r="A12" s="6" t="s">
        <v>90</v>
      </c>
      <c r="B12" s="7" t="n">
        <v>46288</v>
      </c>
      <c r="C12" s="8" t="n">
        <v>0.546921296296296</v>
      </c>
      <c r="D12" s="6" t="s">
        <v>40</v>
      </c>
      <c r="E12" s="6" t="s">
        <v>91</v>
      </c>
      <c r="F12" s="6" t="s">
        <v>42</v>
      </c>
      <c r="G12" s="6" t="s">
        <v>43</v>
      </c>
      <c r="H12" s="6" t="s">
        <v>83</v>
      </c>
      <c r="I12" s="6" t="s">
        <v>92</v>
      </c>
      <c r="J12" s="6" t="s">
        <v>93</v>
      </c>
      <c r="K12" s="6"/>
      <c r="L12" s="6"/>
      <c r="M12" s="6"/>
      <c r="N12" s="6" t="s">
        <v>94</v>
      </c>
      <c r="O12" s="6"/>
      <c r="P12" s="6"/>
      <c r="Q12" s="6"/>
      <c r="R12" s="6" t="s">
        <v>51</v>
      </c>
      <c r="S12" s="6" t="s">
        <v>52</v>
      </c>
      <c r="T12" s="6"/>
      <c r="U12" s="6"/>
      <c r="V12" s="6"/>
      <c r="W12" s="6"/>
      <c r="X12" s="6" t="s">
        <v>95</v>
      </c>
    </row>
    <row r="13" customFormat="false" ht="23.25" hidden="false" customHeight="true" outlineLevel="0" collapsed="false">
      <c r="A13" s="6" t="s">
        <v>96</v>
      </c>
      <c r="B13" s="7" t="n">
        <v>46288</v>
      </c>
      <c r="C13" s="8" t="n">
        <v>0.551018518518519</v>
      </c>
      <c r="D13" s="6" t="s">
        <v>40</v>
      </c>
      <c r="E13" s="6" t="s">
        <v>91</v>
      </c>
      <c r="F13" s="6" t="s">
        <v>42</v>
      </c>
      <c r="G13" s="6" t="s">
        <v>43</v>
      </c>
      <c r="H13" s="6" t="s">
        <v>83</v>
      </c>
      <c r="I13" s="6" t="s">
        <v>45</v>
      </c>
      <c r="J13" s="6" t="s">
        <v>93</v>
      </c>
      <c r="K13" s="6" t="s">
        <v>97</v>
      </c>
      <c r="L13" s="6" t="s">
        <v>98</v>
      </c>
      <c r="M13" s="6"/>
      <c r="N13" s="6" t="s">
        <v>99</v>
      </c>
      <c r="O13" s="6"/>
      <c r="P13" s="6"/>
      <c r="Q13" s="6"/>
      <c r="R13" s="6" t="s">
        <v>51</v>
      </c>
      <c r="S13" s="6" t="s">
        <v>52</v>
      </c>
      <c r="T13" s="6"/>
      <c r="U13" s="6"/>
      <c r="V13" s="6"/>
      <c r="W13" s="6"/>
      <c r="X13" s="6"/>
    </row>
    <row r="14" customFormat="false" ht="68.25" hidden="false" customHeight="true" outlineLevel="0" collapsed="false">
      <c r="A14" s="9" t="s">
        <v>100</v>
      </c>
      <c r="B14" s="10" t="n">
        <v>46288</v>
      </c>
      <c r="C14" s="11" t="n">
        <v>0.554097222222222</v>
      </c>
      <c r="D14" s="9" t="s">
        <v>40</v>
      </c>
      <c r="E14" s="9" t="s">
        <v>91</v>
      </c>
      <c r="F14" s="9" t="s">
        <v>42</v>
      </c>
      <c r="G14" s="9" t="s">
        <v>43</v>
      </c>
      <c r="H14" s="9" t="s">
        <v>83</v>
      </c>
      <c r="I14" s="9" t="s">
        <v>88</v>
      </c>
      <c r="J14" s="9" t="s">
        <v>101</v>
      </c>
      <c r="K14" s="9"/>
      <c r="L14" s="9"/>
      <c r="M14" s="9"/>
      <c r="N14" s="9" t="s">
        <v>102</v>
      </c>
      <c r="O14" s="9" t="s">
        <v>103</v>
      </c>
      <c r="P14" s="9"/>
      <c r="Q14" s="9"/>
      <c r="R14" s="9" t="s">
        <v>51</v>
      </c>
      <c r="S14" s="9" t="s">
        <v>52</v>
      </c>
      <c r="T14" s="9"/>
      <c r="U14" s="9"/>
      <c r="V14" s="9"/>
      <c r="W14" s="9"/>
      <c r="X14" s="9" t="s">
        <v>104</v>
      </c>
    </row>
    <row r="15" customFormat="false" ht="113.25" hidden="false" customHeight="true" outlineLevel="0" collapsed="false">
      <c r="A15" s="9" t="s">
        <v>105</v>
      </c>
      <c r="B15" s="10" t="n">
        <v>46288</v>
      </c>
      <c r="C15" s="11" t="n">
        <v>0.556180555555556</v>
      </c>
      <c r="D15" s="9" t="s">
        <v>40</v>
      </c>
      <c r="E15" s="9" t="s">
        <v>91</v>
      </c>
      <c r="F15" s="9" t="s">
        <v>42</v>
      </c>
      <c r="G15" s="9" t="s">
        <v>43</v>
      </c>
      <c r="H15" s="9" t="s">
        <v>83</v>
      </c>
      <c r="I15" s="9" t="s">
        <v>88</v>
      </c>
      <c r="J15" s="9" t="s">
        <v>101</v>
      </c>
      <c r="K15" s="9"/>
      <c r="L15" s="9"/>
      <c r="M15" s="9"/>
      <c r="N15" s="9" t="s">
        <v>106</v>
      </c>
      <c r="O15" s="9" t="s">
        <v>107</v>
      </c>
      <c r="P15" s="9"/>
      <c r="Q15" s="9"/>
      <c r="R15" s="9" t="s">
        <v>51</v>
      </c>
      <c r="S15" s="9" t="s">
        <v>52</v>
      </c>
      <c r="T15" s="9"/>
      <c r="U15" s="9" t="s">
        <v>108</v>
      </c>
      <c r="V15" s="9"/>
      <c r="W15" s="9"/>
      <c r="X15" s="9"/>
    </row>
    <row r="16" customFormat="false" ht="68.25" hidden="false" customHeight="true" outlineLevel="0" collapsed="false">
      <c r="A16" s="9" t="s">
        <v>109</v>
      </c>
      <c r="B16" s="10" t="n">
        <v>46288</v>
      </c>
      <c r="C16" s="11" t="n">
        <v>0.557847222222222</v>
      </c>
      <c r="D16" s="9" t="s">
        <v>40</v>
      </c>
      <c r="E16" s="9" t="s">
        <v>91</v>
      </c>
      <c r="F16" s="9" t="s">
        <v>42</v>
      </c>
      <c r="G16" s="9" t="s">
        <v>43</v>
      </c>
      <c r="H16" s="9" t="s">
        <v>83</v>
      </c>
      <c r="I16" s="9" t="s">
        <v>88</v>
      </c>
      <c r="J16" s="9" t="s">
        <v>101</v>
      </c>
      <c r="K16" s="9"/>
      <c r="L16" s="9"/>
      <c r="M16" s="9"/>
      <c r="N16" s="9" t="s">
        <v>110</v>
      </c>
      <c r="O16" s="9" t="s">
        <v>111</v>
      </c>
      <c r="P16" s="9"/>
      <c r="Q16" s="9"/>
      <c r="R16" s="9" t="s">
        <v>51</v>
      </c>
      <c r="S16" s="9" t="s">
        <v>52</v>
      </c>
      <c r="T16" s="9"/>
      <c r="U16" s="9"/>
      <c r="V16" s="9"/>
      <c r="W16" s="9"/>
      <c r="X16" s="9"/>
    </row>
    <row r="17" customFormat="false" ht="90.75" hidden="false" customHeight="true" outlineLevel="0" collapsed="false">
      <c r="A17" s="9" t="s">
        <v>112</v>
      </c>
      <c r="B17" s="10" t="n">
        <v>46289</v>
      </c>
      <c r="C17" s="11" t="n">
        <v>0.441539351851852</v>
      </c>
      <c r="D17" s="9" t="s">
        <v>40</v>
      </c>
      <c r="E17" s="9" t="s">
        <v>113</v>
      </c>
      <c r="F17" s="9" t="s">
        <v>42</v>
      </c>
      <c r="G17" s="9" t="s">
        <v>43</v>
      </c>
      <c r="H17" s="9" t="s">
        <v>83</v>
      </c>
      <c r="I17" s="9" t="s">
        <v>92</v>
      </c>
      <c r="J17" s="9" t="s">
        <v>114</v>
      </c>
      <c r="K17" s="9"/>
      <c r="L17" s="9"/>
      <c r="M17" s="9"/>
      <c r="N17" s="9" t="s">
        <v>115</v>
      </c>
      <c r="O17" s="9"/>
      <c r="P17" s="9"/>
      <c r="Q17" s="9"/>
      <c r="R17" s="9" t="s">
        <v>51</v>
      </c>
      <c r="S17" s="9" t="s">
        <v>52</v>
      </c>
      <c r="T17" s="9"/>
      <c r="U17" s="9"/>
      <c r="V17" s="9"/>
      <c r="W17" s="9"/>
      <c r="X17" s="9" t="s">
        <v>116</v>
      </c>
    </row>
    <row r="18" customFormat="false" ht="23.25" hidden="false" customHeight="true" outlineLevel="0" collapsed="false">
      <c r="A18" s="9" t="s">
        <v>117</v>
      </c>
      <c r="B18" s="10" t="n">
        <v>46289</v>
      </c>
      <c r="C18" s="11" t="n">
        <v>0.441655092592593</v>
      </c>
      <c r="D18" s="9" t="s">
        <v>40</v>
      </c>
      <c r="E18" s="9" t="s">
        <v>113</v>
      </c>
      <c r="F18" s="9" t="s">
        <v>42</v>
      </c>
      <c r="G18" s="9" t="s">
        <v>43</v>
      </c>
      <c r="H18" s="9" t="s">
        <v>83</v>
      </c>
      <c r="I18" s="9" t="s">
        <v>45</v>
      </c>
      <c r="J18" s="9" t="s">
        <v>114</v>
      </c>
      <c r="K18" s="9" t="s">
        <v>118</v>
      </c>
      <c r="L18" s="9" t="s">
        <v>119</v>
      </c>
      <c r="M18" s="9"/>
      <c r="N18" s="9" t="s">
        <v>120</v>
      </c>
      <c r="O18" s="9"/>
      <c r="P18" s="9"/>
      <c r="Q18" s="9"/>
      <c r="R18" s="9" t="s">
        <v>51</v>
      </c>
      <c r="S18" s="9" t="s">
        <v>52</v>
      </c>
      <c r="T18" s="9"/>
      <c r="U18" s="9"/>
      <c r="V18" s="9"/>
      <c r="W18" s="9"/>
      <c r="X18" s="9"/>
    </row>
    <row r="19" customFormat="false" ht="57" hidden="false" customHeight="true" outlineLevel="0" collapsed="false">
      <c r="A19" s="9" t="s">
        <v>121</v>
      </c>
      <c r="B19" s="10" t="n">
        <v>46289</v>
      </c>
      <c r="C19" s="11" t="n">
        <v>0.457569444444444</v>
      </c>
      <c r="D19" s="9" t="s">
        <v>40</v>
      </c>
      <c r="E19" s="9" t="s">
        <v>113</v>
      </c>
      <c r="F19" s="9" t="s">
        <v>42</v>
      </c>
      <c r="G19" s="9" t="s">
        <v>43</v>
      </c>
      <c r="H19" s="9" t="s">
        <v>83</v>
      </c>
      <c r="I19" s="9" t="s">
        <v>45</v>
      </c>
      <c r="J19" s="9" t="s">
        <v>122</v>
      </c>
      <c r="K19" s="9" t="s">
        <v>123</v>
      </c>
      <c r="L19" s="9" t="s">
        <v>124</v>
      </c>
      <c r="M19" s="9"/>
      <c r="N19" s="9" t="s">
        <v>125</v>
      </c>
      <c r="O19" s="9" t="s">
        <v>126</v>
      </c>
      <c r="P19" s="9"/>
      <c r="Q19" s="9"/>
      <c r="R19" s="9" t="s">
        <v>51</v>
      </c>
      <c r="S19" s="9" t="s">
        <v>52</v>
      </c>
      <c r="T19" s="9"/>
      <c r="U19" s="9"/>
      <c r="V19" s="9"/>
      <c r="W19" s="9"/>
      <c r="X19" s="9"/>
    </row>
    <row r="20" customFormat="false" ht="57" hidden="false" customHeight="true" outlineLevel="0" collapsed="false">
      <c r="A20" s="9" t="s">
        <v>127</v>
      </c>
      <c r="B20" s="10" t="n">
        <v>46289</v>
      </c>
      <c r="C20" s="11" t="n">
        <v>0.457569444444444</v>
      </c>
      <c r="D20" s="9" t="s">
        <v>40</v>
      </c>
      <c r="E20" s="9" t="s">
        <v>113</v>
      </c>
      <c r="F20" s="9" t="s">
        <v>42</v>
      </c>
      <c r="G20" s="9" t="s">
        <v>43</v>
      </c>
      <c r="H20" s="9" t="s">
        <v>83</v>
      </c>
      <c r="I20" s="9" t="s">
        <v>128</v>
      </c>
      <c r="J20" s="9" t="s">
        <v>122</v>
      </c>
      <c r="K20" s="9"/>
      <c r="L20" s="9"/>
      <c r="M20" s="9"/>
      <c r="N20" s="9" t="s">
        <v>129</v>
      </c>
      <c r="O20" s="9"/>
      <c r="P20" s="9"/>
      <c r="Q20" s="9"/>
      <c r="R20" s="9" t="s">
        <v>51</v>
      </c>
      <c r="S20" s="9" t="s">
        <v>52</v>
      </c>
      <c r="T20" s="9"/>
      <c r="U20" s="9"/>
      <c r="V20" s="9"/>
      <c r="W20" s="9"/>
      <c r="X20" s="9"/>
    </row>
    <row r="21" customFormat="false" ht="124.5" hidden="false" customHeight="true" outlineLevel="0" collapsed="false">
      <c r="A21" s="9" t="s">
        <v>130</v>
      </c>
      <c r="B21" s="10" t="n">
        <v>46289</v>
      </c>
      <c r="C21" s="11" t="n">
        <v>0.688842592592593</v>
      </c>
      <c r="D21" s="9" t="s">
        <v>40</v>
      </c>
      <c r="E21" s="9" t="s">
        <v>113</v>
      </c>
      <c r="F21" s="9" t="s">
        <v>42</v>
      </c>
      <c r="G21" s="9" t="s">
        <v>43</v>
      </c>
      <c r="H21" s="9" t="s">
        <v>83</v>
      </c>
      <c r="I21" s="9" t="s">
        <v>92</v>
      </c>
      <c r="J21" s="9" t="s">
        <v>131</v>
      </c>
      <c r="K21" s="9"/>
      <c r="L21" s="9"/>
      <c r="M21" s="9"/>
      <c r="N21" s="9" t="s">
        <v>132</v>
      </c>
      <c r="O21" s="9"/>
      <c r="P21" s="9"/>
      <c r="Q21" s="9"/>
      <c r="R21" s="9" t="s">
        <v>51</v>
      </c>
      <c r="S21" s="9" t="s">
        <v>52</v>
      </c>
      <c r="T21" s="9"/>
      <c r="U21" s="9"/>
      <c r="V21" s="9"/>
      <c r="W21" s="9"/>
      <c r="X21" s="9" t="s">
        <v>133</v>
      </c>
    </row>
    <row r="22" customFormat="false" ht="68.25" hidden="false" customHeight="true" outlineLevel="0" collapsed="false">
      <c r="A22" s="9" t="s">
        <v>134</v>
      </c>
      <c r="B22" s="10" t="n">
        <v>46289</v>
      </c>
      <c r="C22" s="11" t="n">
        <v>0.688854166666667</v>
      </c>
      <c r="D22" s="9" t="s">
        <v>40</v>
      </c>
      <c r="E22" s="9" t="s">
        <v>113</v>
      </c>
      <c r="F22" s="9" t="s">
        <v>42</v>
      </c>
      <c r="G22" s="9" t="s">
        <v>43</v>
      </c>
      <c r="H22" s="9" t="s">
        <v>83</v>
      </c>
      <c r="I22" s="9" t="s">
        <v>61</v>
      </c>
      <c r="J22" s="9" t="s">
        <v>131</v>
      </c>
      <c r="K22" s="9"/>
      <c r="L22" s="9"/>
      <c r="M22" s="9"/>
      <c r="N22" s="9" t="s">
        <v>135</v>
      </c>
      <c r="O22" s="9" t="s">
        <v>136</v>
      </c>
      <c r="P22" s="9"/>
      <c r="Q22" s="9"/>
      <c r="R22" s="9" t="s">
        <v>51</v>
      </c>
      <c r="S22" s="9" t="s">
        <v>52</v>
      </c>
      <c r="T22" s="9"/>
      <c r="U22" s="9" t="s">
        <v>137</v>
      </c>
      <c r="V22" s="9"/>
      <c r="W22" s="9"/>
      <c r="X22" s="9"/>
    </row>
    <row r="23" customFormat="false" ht="23.25" hidden="false" customHeight="true" outlineLevel="0" collapsed="false">
      <c r="A23" s="9" t="s">
        <v>138</v>
      </c>
      <c r="B23" s="10" t="n">
        <v>46289</v>
      </c>
      <c r="C23" s="11" t="n">
        <v>0.689074074074074</v>
      </c>
      <c r="D23" s="9" t="s">
        <v>40</v>
      </c>
      <c r="E23" s="9" t="s">
        <v>113</v>
      </c>
      <c r="F23" s="9" t="s">
        <v>42</v>
      </c>
      <c r="G23" s="9" t="s">
        <v>43</v>
      </c>
      <c r="H23" s="9" t="s">
        <v>83</v>
      </c>
      <c r="I23" s="9" t="s">
        <v>45</v>
      </c>
      <c r="J23" s="9" t="s">
        <v>131</v>
      </c>
      <c r="K23" s="9" t="s">
        <v>139</v>
      </c>
      <c r="L23" s="9" t="s">
        <v>140</v>
      </c>
      <c r="M23" s="9"/>
      <c r="N23" s="9" t="s">
        <v>141</v>
      </c>
      <c r="O23" s="9"/>
      <c r="P23" s="9"/>
      <c r="Q23" s="9"/>
      <c r="R23" s="9" t="s">
        <v>51</v>
      </c>
      <c r="S23" s="9" t="s">
        <v>52</v>
      </c>
      <c r="T23" s="9"/>
      <c r="U23" s="9"/>
      <c r="V23" s="9"/>
      <c r="W23" s="9"/>
      <c r="X23" s="9"/>
    </row>
    <row r="24" customFormat="false" ht="23.25" hidden="false" customHeight="true" outlineLevel="0" collapsed="false">
      <c r="A24" s="9" t="s">
        <v>142</v>
      </c>
      <c r="B24" s="10" t="n">
        <v>46289</v>
      </c>
      <c r="C24" s="11" t="n">
        <v>0.689074074074074</v>
      </c>
      <c r="D24" s="9" t="s">
        <v>40</v>
      </c>
      <c r="E24" s="9" t="s">
        <v>113</v>
      </c>
      <c r="F24" s="9" t="s">
        <v>42</v>
      </c>
      <c r="G24" s="9" t="s">
        <v>43</v>
      </c>
      <c r="H24" s="9" t="s">
        <v>83</v>
      </c>
      <c r="I24" s="9" t="s">
        <v>45</v>
      </c>
      <c r="J24" s="9" t="s">
        <v>131</v>
      </c>
      <c r="K24" s="9" t="s">
        <v>143</v>
      </c>
      <c r="L24" s="9" t="s">
        <v>144</v>
      </c>
      <c r="M24" s="9"/>
      <c r="N24" s="9" t="s">
        <v>145</v>
      </c>
      <c r="O24" s="9"/>
      <c r="P24" s="9"/>
      <c r="Q24" s="9"/>
      <c r="R24" s="9" t="s">
        <v>51</v>
      </c>
      <c r="S24" s="9" t="s">
        <v>52</v>
      </c>
      <c r="T24" s="9"/>
      <c r="U24" s="9"/>
      <c r="V24" s="9"/>
      <c r="W24" s="9"/>
      <c r="X24" s="9"/>
    </row>
    <row r="25" customFormat="false" ht="102" hidden="false" customHeight="true" outlineLevel="0" collapsed="false">
      <c r="A25" s="9" t="s">
        <v>146</v>
      </c>
      <c r="B25" s="10" t="n">
        <v>46289</v>
      </c>
      <c r="C25" s="11" t="n">
        <v>0.693634259259259</v>
      </c>
      <c r="D25" s="9" t="s">
        <v>40</v>
      </c>
      <c r="E25" s="9" t="s">
        <v>113</v>
      </c>
      <c r="F25" s="9" t="s">
        <v>42</v>
      </c>
      <c r="G25" s="9" t="s">
        <v>43</v>
      </c>
      <c r="H25" s="9" t="s">
        <v>83</v>
      </c>
      <c r="I25" s="9" t="s">
        <v>147</v>
      </c>
      <c r="J25" s="9" t="s">
        <v>148</v>
      </c>
      <c r="K25" s="9"/>
      <c r="L25" s="9"/>
      <c r="M25" s="9"/>
      <c r="N25" s="9" t="s">
        <v>149</v>
      </c>
      <c r="O25" s="9"/>
      <c r="P25" s="9"/>
      <c r="Q25" s="9"/>
      <c r="R25" s="9" t="s">
        <v>51</v>
      </c>
      <c r="S25" s="9" t="s">
        <v>52</v>
      </c>
      <c r="T25" s="9"/>
      <c r="U25" s="9"/>
      <c r="V25" s="9"/>
      <c r="W25" s="9"/>
      <c r="X25" s="9" t="s">
        <v>150</v>
      </c>
    </row>
    <row r="26" customFormat="false" ht="124.5" hidden="false" customHeight="true" outlineLevel="0" collapsed="false">
      <c r="A26" s="9" t="s">
        <v>151</v>
      </c>
      <c r="B26" s="10" t="n">
        <v>46289</v>
      </c>
      <c r="C26" s="11" t="n">
        <v>0.969212962962963</v>
      </c>
      <c r="D26" s="9" t="s">
        <v>40</v>
      </c>
      <c r="E26" s="9" t="s">
        <v>113</v>
      </c>
      <c r="F26" s="9" t="s">
        <v>42</v>
      </c>
      <c r="G26" s="9" t="s">
        <v>43</v>
      </c>
      <c r="H26" s="9" t="s">
        <v>83</v>
      </c>
      <c r="I26" s="9" t="s">
        <v>128</v>
      </c>
      <c r="J26" s="9" t="s">
        <v>152</v>
      </c>
      <c r="K26" s="9"/>
      <c r="L26" s="9"/>
      <c r="M26" s="9"/>
      <c r="N26" s="9" t="s">
        <v>153</v>
      </c>
      <c r="O26" s="9" t="s">
        <v>154</v>
      </c>
      <c r="P26" s="9"/>
      <c r="Q26" s="9"/>
      <c r="R26" s="9" t="s">
        <v>51</v>
      </c>
      <c r="S26" s="9" t="s">
        <v>52</v>
      </c>
      <c r="T26" s="9"/>
      <c r="U26" s="9"/>
      <c r="V26" s="9"/>
      <c r="W26" s="9"/>
      <c r="X26" s="9"/>
    </row>
    <row r="27" customFormat="false" ht="90.75" hidden="false" customHeight="true" outlineLevel="0" collapsed="false">
      <c r="A27" s="9" t="s">
        <v>155</v>
      </c>
      <c r="B27" s="10" t="n">
        <v>46289</v>
      </c>
      <c r="C27" s="11" t="n">
        <v>0.969212962962963</v>
      </c>
      <c r="D27" s="9" t="s">
        <v>40</v>
      </c>
      <c r="E27" s="9" t="s">
        <v>113</v>
      </c>
      <c r="F27" s="9" t="s">
        <v>42</v>
      </c>
      <c r="G27" s="9" t="s">
        <v>43</v>
      </c>
      <c r="H27" s="9" t="s">
        <v>83</v>
      </c>
      <c r="I27" s="9" t="s">
        <v>128</v>
      </c>
      <c r="J27" s="9" t="s">
        <v>152</v>
      </c>
      <c r="K27" s="9"/>
      <c r="L27" s="9"/>
      <c r="M27" s="9"/>
      <c r="N27" s="9" t="s">
        <v>156</v>
      </c>
      <c r="O27" s="9" t="s">
        <v>157</v>
      </c>
      <c r="P27" s="9"/>
      <c r="Q27" s="9"/>
      <c r="R27" s="9" t="s">
        <v>51</v>
      </c>
      <c r="S27" s="9" t="s">
        <v>52</v>
      </c>
      <c r="T27" s="9"/>
      <c r="U27" s="9"/>
      <c r="V27" s="9"/>
      <c r="W27" s="9"/>
      <c r="X27" s="9"/>
    </row>
    <row r="28" customFormat="false" ht="124.5" hidden="false" customHeight="true" outlineLevel="0" collapsed="false">
      <c r="A28" s="9" t="s">
        <v>158</v>
      </c>
      <c r="B28" s="10" t="n">
        <v>46290</v>
      </c>
      <c r="C28" s="11" t="n">
        <v>0.580555555555556</v>
      </c>
      <c r="D28" s="9" t="s">
        <v>40</v>
      </c>
      <c r="E28" s="9" t="s">
        <v>159</v>
      </c>
      <c r="F28" s="9" t="s">
        <v>42</v>
      </c>
      <c r="G28" s="9" t="s">
        <v>43</v>
      </c>
      <c r="H28" s="9" t="s">
        <v>83</v>
      </c>
      <c r="I28" s="9" t="s">
        <v>128</v>
      </c>
      <c r="J28" s="9" t="s">
        <v>160</v>
      </c>
      <c r="K28" s="9"/>
      <c r="L28" s="9"/>
      <c r="M28" s="9"/>
      <c r="N28" s="9" t="s">
        <v>161</v>
      </c>
      <c r="O28" s="9" t="s">
        <v>162</v>
      </c>
      <c r="P28" s="9"/>
      <c r="Q28" s="9"/>
      <c r="R28" s="9" t="s">
        <v>51</v>
      </c>
      <c r="S28" s="9" t="s">
        <v>52</v>
      </c>
      <c r="T28" s="9"/>
      <c r="U28" s="9"/>
      <c r="V28" s="9"/>
      <c r="W28" s="9"/>
      <c r="X28" s="9"/>
    </row>
    <row r="29" customFormat="false" ht="68.25" hidden="false" customHeight="true" outlineLevel="0" collapsed="false">
      <c r="A29" s="9" t="s">
        <v>163</v>
      </c>
      <c r="B29" s="10" t="n">
        <v>46290</v>
      </c>
      <c r="C29" s="11" t="n">
        <v>0.580555555555556</v>
      </c>
      <c r="D29" s="9" t="s">
        <v>40</v>
      </c>
      <c r="E29" s="9" t="s">
        <v>159</v>
      </c>
      <c r="F29" s="9" t="s">
        <v>42</v>
      </c>
      <c r="G29" s="9" t="s">
        <v>43</v>
      </c>
      <c r="H29" s="9" t="s">
        <v>83</v>
      </c>
      <c r="I29" s="9" t="s">
        <v>128</v>
      </c>
      <c r="J29" s="9" t="s">
        <v>160</v>
      </c>
      <c r="K29" s="9"/>
      <c r="L29" s="9"/>
      <c r="M29" s="9"/>
      <c r="N29" s="9" t="s">
        <v>164</v>
      </c>
      <c r="O29" s="9"/>
      <c r="P29" s="9"/>
      <c r="Q29" s="9"/>
      <c r="R29" s="9" t="s">
        <v>51</v>
      </c>
      <c r="S29" s="9" t="s">
        <v>52</v>
      </c>
      <c r="T29" s="9"/>
      <c r="U29" s="9"/>
      <c r="V29" s="9"/>
      <c r="W29" s="9"/>
      <c r="X29" s="9"/>
    </row>
    <row r="30" customFormat="false" ht="68.25" hidden="false" customHeight="true" outlineLevel="0" collapsed="false">
      <c r="A30" s="9" t="s">
        <v>165</v>
      </c>
      <c r="B30" s="10" t="n">
        <v>46290</v>
      </c>
      <c r="C30" s="11" t="n">
        <v>0.598553240740741</v>
      </c>
      <c r="D30" s="9" t="s">
        <v>40</v>
      </c>
      <c r="E30" s="9" t="s">
        <v>159</v>
      </c>
      <c r="F30" s="9" t="s">
        <v>42</v>
      </c>
      <c r="G30" s="9" t="s">
        <v>43</v>
      </c>
      <c r="H30" s="9" t="s">
        <v>83</v>
      </c>
      <c r="I30" s="9" t="s">
        <v>45</v>
      </c>
      <c r="J30" s="9" t="s">
        <v>166</v>
      </c>
      <c r="K30" s="9" t="s">
        <v>167</v>
      </c>
      <c r="L30" s="9" t="s">
        <v>168</v>
      </c>
      <c r="M30" s="9"/>
      <c r="N30" s="9" t="s">
        <v>169</v>
      </c>
      <c r="O30" s="9"/>
      <c r="P30" s="9"/>
      <c r="Q30" s="9"/>
      <c r="R30" s="9" t="s">
        <v>51</v>
      </c>
      <c r="S30" s="9" t="s">
        <v>52</v>
      </c>
      <c r="T30" s="9"/>
      <c r="U30" s="9"/>
      <c r="V30" s="9"/>
      <c r="W30" s="9"/>
      <c r="X30" s="9"/>
    </row>
    <row r="31" customFormat="false" ht="168.75" hidden="false" customHeight="true" outlineLevel="0" collapsed="false">
      <c r="A31" s="9" t="s">
        <v>170</v>
      </c>
      <c r="B31" s="10" t="n">
        <v>46290</v>
      </c>
      <c r="C31" s="11" t="n">
        <v>0.598564814814815</v>
      </c>
      <c r="D31" s="9" t="s">
        <v>40</v>
      </c>
      <c r="E31" s="9" t="s">
        <v>159</v>
      </c>
      <c r="F31" s="9" t="s">
        <v>42</v>
      </c>
      <c r="G31" s="9" t="s">
        <v>43</v>
      </c>
      <c r="H31" s="9" t="s">
        <v>83</v>
      </c>
      <c r="I31" s="9" t="s">
        <v>92</v>
      </c>
      <c r="J31" s="9" t="s">
        <v>166</v>
      </c>
      <c r="K31" s="9"/>
      <c r="L31" s="9"/>
      <c r="M31" s="9"/>
      <c r="N31" s="9" t="s">
        <v>171</v>
      </c>
      <c r="O31" s="9"/>
      <c r="P31" s="9"/>
      <c r="Q31" s="9"/>
      <c r="R31" s="9" t="s">
        <v>51</v>
      </c>
      <c r="S31" s="9" t="s">
        <v>52</v>
      </c>
      <c r="T31" s="9"/>
      <c r="U31" s="9"/>
      <c r="V31" s="9"/>
      <c r="W31" s="9"/>
      <c r="X31" s="9" t="s">
        <v>172</v>
      </c>
    </row>
    <row r="32" customFormat="false" ht="45.75" hidden="false" customHeight="true" outlineLevel="0" collapsed="false">
      <c r="A32" s="9" t="s">
        <v>173</v>
      </c>
      <c r="B32" s="10" t="n">
        <v>46290</v>
      </c>
      <c r="C32" s="11" t="n">
        <v>0.602893518518519</v>
      </c>
      <c r="D32" s="9" t="s">
        <v>40</v>
      </c>
      <c r="E32" s="9" t="s">
        <v>159</v>
      </c>
      <c r="F32" s="9" t="s">
        <v>42</v>
      </c>
      <c r="G32" s="9" t="s">
        <v>43</v>
      </c>
      <c r="H32" s="9" t="s">
        <v>83</v>
      </c>
      <c r="I32" s="9" t="s">
        <v>45</v>
      </c>
      <c r="J32" s="9" t="s">
        <v>166</v>
      </c>
      <c r="K32" s="9"/>
      <c r="L32" s="9"/>
      <c r="M32" s="9"/>
      <c r="N32" s="9" t="s">
        <v>174</v>
      </c>
      <c r="O32" s="9"/>
      <c r="P32" s="9"/>
      <c r="Q32" s="9"/>
      <c r="R32" s="9" t="s">
        <v>51</v>
      </c>
      <c r="S32" s="9" t="s">
        <v>52</v>
      </c>
      <c r="T32" s="9"/>
      <c r="U32" s="9"/>
      <c r="V32" s="9"/>
      <c r="W32" s="9"/>
      <c r="X32" s="9"/>
    </row>
    <row r="33" customFormat="false" ht="23.25" hidden="false" customHeight="true" outlineLevel="0" collapsed="false">
      <c r="A33" s="9" t="s">
        <v>175</v>
      </c>
      <c r="B33" s="10" t="n">
        <v>46290</v>
      </c>
      <c r="C33" s="11" t="n">
        <v>0.602951388888889</v>
      </c>
      <c r="D33" s="9" t="s">
        <v>40</v>
      </c>
      <c r="E33" s="9" t="s">
        <v>159</v>
      </c>
      <c r="F33" s="9" t="s">
        <v>42</v>
      </c>
      <c r="G33" s="9" t="s">
        <v>43</v>
      </c>
      <c r="H33" s="9" t="s">
        <v>83</v>
      </c>
      <c r="I33" s="9" t="s">
        <v>45</v>
      </c>
      <c r="J33" s="9" t="s">
        <v>166</v>
      </c>
      <c r="K33" s="9" t="s">
        <v>176</v>
      </c>
      <c r="L33" s="9" t="s">
        <v>177</v>
      </c>
      <c r="M33" s="9"/>
      <c r="N33" s="9" t="s">
        <v>178</v>
      </c>
      <c r="O33" s="9"/>
      <c r="P33" s="9"/>
      <c r="Q33" s="9"/>
      <c r="R33" s="9" t="s">
        <v>51</v>
      </c>
      <c r="S33" s="9" t="s">
        <v>52</v>
      </c>
      <c r="T33" s="9"/>
      <c r="U33" s="9"/>
      <c r="V33" s="9"/>
      <c r="W33" s="9"/>
      <c r="X33" s="9"/>
    </row>
    <row r="34" customFormat="false" ht="180" hidden="false" customHeight="true" outlineLevel="0" collapsed="false">
      <c r="A34" s="9" t="s">
        <v>179</v>
      </c>
      <c r="B34" s="10" t="n">
        <v>46290</v>
      </c>
      <c r="C34" s="11" t="n">
        <v>0.618171296296296</v>
      </c>
      <c r="D34" s="9" t="s">
        <v>40</v>
      </c>
      <c r="E34" s="9" t="s">
        <v>159</v>
      </c>
      <c r="F34" s="9" t="s">
        <v>42</v>
      </c>
      <c r="G34" s="9" t="s">
        <v>43</v>
      </c>
      <c r="H34" s="9" t="s">
        <v>83</v>
      </c>
      <c r="I34" s="9" t="s">
        <v>92</v>
      </c>
      <c r="J34" s="9" t="s">
        <v>166</v>
      </c>
      <c r="K34" s="9"/>
      <c r="L34" s="9"/>
      <c r="M34" s="9"/>
      <c r="N34" s="9" t="s">
        <v>180</v>
      </c>
      <c r="O34" s="9"/>
      <c r="P34" s="9"/>
      <c r="Q34" s="9"/>
      <c r="R34" s="9" t="s">
        <v>51</v>
      </c>
      <c r="S34" s="9" t="s">
        <v>52</v>
      </c>
      <c r="T34" s="9"/>
      <c r="U34" s="9"/>
      <c r="V34" s="9"/>
      <c r="W34" s="9"/>
      <c r="X34" s="9" t="s">
        <v>181</v>
      </c>
    </row>
    <row r="35" customFormat="false" ht="57" hidden="false" customHeight="true" outlineLevel="0" collapsed="false">
      <c r="A35" s="9" t="s">
        <v>182</v>
      </c>
      <c r="B35" s="10" t="n">
        <v>46290</v>
      </c>
      <c r="C35" s="11" t="n">
        <v>0.619652777777778</v>
      </c>
      <c r="D35" s="9" t="s">
        <v>40</v>
      </c>
      <c r="E35" s="9" t="s">
        <v>159</v>
      </c>
      <c r="F35" s="9" t="s">
        <v>42</v>
      </c>
      <c r="G35" s="9" t="s">
        <v>43</v>
      </c>
      <c r="H35" s="9" t="s">
        <v>83</v>
      </c>
      <c r="I35" s="9" t="s">
        <v>61</v>
      </c>
      <c r="J35" s="9" t="s">
        <v>166</v>
      </c>
      <c r="K35" s="9"/>
      <c r="L35" s="9"/>
      <c r="M35" s="9"/>
      <c r="N35" s="9" t="s">
        <v>183</v>
      </c>
      <c r="O35" s="9" t="s">
        <v>184</v>
      </c>
      <c r="P35" s="9"/>
      <c r="Q35" s="9"/>
      <c r="R35" s="9" t="s">
        <v>51</v>
      </c>
      <c r="S35" s="9" t="s">
        <v>52</v>
      </c>
      <c r="T35" s="9"/>
      <c r="U35" s="9" t="s">
        <v>185</v>
      </c>
      <c r="V35" s="9"/>
      <c r="W35" s="9"/>
      <c r="X35" s="9"/>
    </row>
    <row r="36" customFormat="false" ht="34.5" hidden="false" customHeight="true" outlineLevel="0" collapsed="false">
      <c r="A36" s="9" t="s">
        <v>186</v>
      </c>
      <c r="B36" s="10" t="n">
        <v>46290</v>
      </c>
      <c r="C36" s="11" t="n">
        <v>0.78525462962963</v>
      </c>
      <c r="D36" s="9" t="s">
        <v>40</v>
      </c>
      <c r="E36" s="9" t="s">
        <v>159</v>
      </c>
      <c r="F36" s="9" t="s">
        <v>42</v>
      </c>
      <c r="G36" s="9" t="s">
        <v>43</v>
      </c>
      <c r="H36" s="9" t="s">
        <v>83</v>
      </c>
      <c r="I36" s="9" t="s">
        <v>187</v>
      </c>
      <c r="J36" s="9" t="s">
        <v>166</v>
      </c>
      <c r="K36" s="9" t="s">
        <v>167</v>
      </c>
      <c r="L36" s="9" t="s">
        <v>168</v>
      </c>
      <c r="M36" s="9"/>
      <c r="N36" s="9" t="s">
        <v>188</v>
      </c>
      <c r="O36" s="9"/>
      <c r="P36" s="9"/>
      <c r="Q36" s="9"/>
      <c r="R36" s="9" t="s">
        <v>51</v>
      </c>
      <c r="S36" s="9" t="s">
        <v>52</v>
      </c>
      <c r="T36" s="9"/>
      <c r="U36" s="9"/>
      <c r="V36" s="9"/>
      <c r="W36" s="9"/>
      <c r="X36" s="9"/>
    </row>
    <row r="37" customFormat="false" ht="57" hidden="false" customHeight="true" outlineLevel="0" collapsed="false">
      <c r="A37" s="9" t="s">
        <v>189</v>
      </c>
      <c r="B37" s="10" t="n">
        <v>46290</v>
      </c>
      <c r="C37" s="11" t="n">
        <v>0.78525462962963</v>
      </c>
      <c r="D37" s="9" t="s">
        <v>40</v>
      </c>
      <c r="E37" s="9" t="s">
        <v>159</v>
      </c>
      <c r="F37" s="9" t="s">
        <v>42</v>
      </c>
      <c r="G37" s="9" t="s">
        <v>43</v>
      </c>
      <c r="H37" s="9" t="s">
        <v>83</v>
      </c>
      <c r="I37" s="9" t="s">
        <v>92</v>
      </c>
      <c r="J37" s="9" t="s">
        <v>166</v>
      </c>
      <c r="K37" s="9"/>
      <c r="L37" s="9"/>
      <c r="M37" s="9"/>
      <c r="N37" s="9" t="s">
        <v>190</v>
      </c>
      <c r="O37" s="9"/>
      <c r="P37" s="9"/>
      <c r="Q37" s="9"/>
      <c r="R37" s="9" t="s">
        <v>51</v>
      </c>
      <c r="S37" s="9" t="s">
        <v>52</v>
      </c>
      <c r="T37" s="9"/>
      <c r="U37" s="9"/>
      <c r="V37" s="9"/>
      <c r="W37" s="9"/>
      <c r="X37" s="9" t="s">
        <v>191</v>
      </c>
    </row>
    <row r="38" customFormat="false" ht="23.25" hidden="false" customHeight="true" outlineLevel="0" collapsed="false">
      <c r="A38" s="9" t="s">
        <v>192</v>
      </c>
      <c r="B38" s="10" t="n">
        <v>46290</v>
      </c>
      <c r="C38" s="11" t="n">
        <v>0.788993055555556</v>
      </c>
      <c r="D38" s="9" t="s">
        <v>40</v>
      </c>
      <c r="E38" s="9" t="s">
        <v>159</v>
      </c>
      <c r="F38" s="9" t="s">
        <v>42</v>
      </c>
      <c r="G38" s="9" t="s">
        <v>43</v>
      </c>
      <c r="H38" s="9" t="s">
        <v>83</v>
      </c>
      <c r="I38" s="9" t="s">
        <v>45</v>
      </c>
      <c r="J38" s="9" t="s">
        <v>166</v>
      </c>
      <c r="K38" s="9" t="s">
        <v>193</v>
      </c>
      <c r="L38" s="9" t="s">
        <v>194</v>
      </c>
      <c r="M38" s="9"/>
      <c r="N38" s="9" t="s">
        <v>195</v>
      </c>
      <c r="O38" s="9"/>
      <c r="P38" s="9"/>
      <c r="Q38" s="9"/>
      <c r="R38" s="9" t="s">
        <v>51</v>
      </c>
      <c r="S38" s="9" t="s">
        <v>52</v>
      </c>
      <c r="T38" s="9"/>
      <c r="U38" s="9"/>
      <c r="V38" s="9"/>
      <c r="W38" s="9"/>
      <c r="X38" s="9"/>
    </row>
    <row r="39" customFormat="false" ht="34.5" hidden="false" customHeight="true" outlineLevel="0" collapsed="false">
      <c r="A39" s="9" t="s">
        <v>196</v>
      </c>
      <c r="B39" s="10" t="n">
        <v>46290</v>
      </c>
      <c r="C39" s="11" t="n">
        <v>0.792743055555556</v>
      </c>
      <c r="D39" s="9" t="s">
        <v>40</v>
      </c>
      <c r="E39" s="9" t="s">
        <v>159</v>
      </c>
      <c r="F39" s="9" t="s">
        <v>42</v>
      </c>
      <c r="G39" s="9" t="s">
        <v>43</v>
      </c>
      <c r="H39" s="9" t="s">
        <v>83</v>
      </c>
      <c r="I39" s="9" t="s">
        <v>45</v>
      </c>
      <c r="J39" s="9" t="s">
        <v>166</v>
      </c>
      <c r="K39" s="9" t="s">
        <v>197</v>
      </c>
      <c r="L39" s="9" t="s">
        <v>198</v>
      </c>
      <c r="M39" s="9"/>
      <c r="N39" s="9" t="s">
        <v>199</v>
      </c>
      <c r="O39" s="9"/>
      <c r="P39" s="9"/>
      <c r="Q39" s="9"/>
      <c r="R39" s="9" t="s">
        <v>51</v>
      </c>
      <c r="S39" s="9" t="s">
        <v>52</v>
      </c>
      <c r="T39" s="9" t="s">
        <v>200</v>
      </c>
      <c r="U39" s="9"/>
      <c r="V39" s="9"/>
      <c r="W39" s="9"/>
      <c r="X39" s="9"/>
    </row>
    <row r="40" customFormat="false" ht="57" hidden="false" customHeight="true" outlineLevel="0" collapsed="false">
      <c r="A40" s="9" t="s">
        <v>201</v>
      </c>
      <c r="B40" s="10" t="n">
        <v>46291</v>
      </c>
      <c r="C40" s="11" t="n">
        <v>0.390138888888889</v>
      </c>
      <c r="D40" s="9" t="s">
        <v>40</v>
      </c>
      <c r="E40" s="9" t="s">
        <v>202</v>
      </c>
      <c r="F40" s="9" t="s">
        <v>42</v>
      </c>
      <c r="G40" s="9" t="s">
        <v>43</v>
      </c>
      <c r="H40" s="9" t="s">
        <v>83</v>
      </c>
      <c r="I40" s="9" t="s">
        <v>45</v>
      </c>
      <c r="J40" s="9" t="s">
        <v>203</v>
      </c>
      <c r="K40" s="9" t="s">
        <v>204</v>
      </c>
      <c r="L40" s="9" t="s">
        <v>205</v>
      </c>
      <c r="M40" s="9"/>
      <c r="N40" s="9" t="s">
        <v>206</v>
      </c>
      <c r="O40" s="9"/>
      <c r="P40" s="9"/>
      <c r="Q40" s="9"/>
      <c r="R40" s="9" t="s">
        <v>51</v>
      </c>
      <c r="S40" s="9" t="s">
        <v>52</v>
      </c>
      <c r="T40" s="9"/>
      <c r="U40" s="9"/>
      <c r="V40" s="9"/>
      <c r="W40" s="9"/>
      <c r="X40" s="9"/>
    </row>
    <row r="41" customFormat="false" ht="124.5" hidden="false" customHeight="true" outlineLevel="0" collapsed="false">
      <c r="A41" s="9" t="s">
        <v>207</v>
      </c>
      <c r="B41" s="10" t="n">
        <v>46291</v>
      </c>
      <c r="C41" s="11" t="n">
        <v>0.390150462962963</v>
      </c>
      <c r="D41" s="9" t="s">
        <v>40</v>
      </c>
      <c r="E41" s="9" t="s">
        <v>202</v>
      </c>
      <c r="F41" s="9" t="s">
        <v>42</v>
      </c>
      <c r="G41" s="9" t="s">
        <v>43</v>
      </c>
      <c r="H41" s="9" t="s">
        <v>83</v>
      </c>
      <c r="I41" s="9" t="s">
        <v>92</v>
      </c>
      <c r="J41" s="9" t="s">
        <v>203</v>
      </c>
      <c r="K41" s="9"/>
      <c r="L41" s="9"/>
      <c r="M41" s="9"/>
      <c r="N41" s="9" t="s">
        <v>208</v>
      </c>
      <c r="O41" s="9"/>
      <c r="P41" s="9"/>
      <c r="Q41" s="9"/>
      <c r="R41" s="9" t="s">
        <v>51</v>
      </c>
      <c r="S41" s="9" t="s">
        <v>52</v>
      </c>
      <c r="T41" s="9"/>
      <c r="U41" s="9"/>
      <c r="V41" s="9"/>
      <c r="W41" s="9"/>
      <c r="X41" s="9" t="s">
        <v>209</v>
      </c>
    </row>
    <row r="42" customFormat="false" ht="23.25" hidden="false" customHeight="true" outlineLevel="0" collapsed="false">
      <c r="A42" s="9" t="s">
        <v>210</v>
      </c>
      <c r="B42" s="10" t="n">
        <v>46291</v>
      </c>
      <c r="C42" s="11" t="n">
        <v>0.390150462962963</v>
      </c>
      <c r="D42" s="9" t="s">
        <v>40</v>
      </c>
      <c r="E42" s="9" t="s">
        <v>202</v>
      </c>
      <c r="F42" s="9" t="s">
        <v>42</v>
      </c>
      <c r="G42" s="9" t="s">
        <v>43</v>
      </c>
      <c r="H42" s="9" t="s">
        <v>83</v>
      </c>
      <c r="I42" s="9" t="s">
        <v>147</v>
      </c>
      <c r="J42" s="9" t="s">
        <v>203</v>
      </c>
      <c r="K42" s="9"/>
      <c r="L42" s="9"/>
      <c r="M42" s="9"/>
      <c r="N42" s="9" t="s">
        <v>211</v>
      </c>
      <c r="O42" s="9"/>
      <c r="P42" s="9"/>
      <c r="Q42" s="9"/>
      <c r="R42" s="9" t="s">
        <v>51</v>
      </c>
      <c r="S42" s="9" t="s">
        <v>52</v>
      </c>
      <c r="T42" s="9"/>
      <c r="U42" s="9"/>
      <c r="V42" s="9"/>
      <c r="W42" s="9"/>
      <c r="X42" s="9" t="s">
        <v>212</v>
      </c>
    </row>
    <row r="43" customFormat="false" ht="23.25" hidden="false" customHeight="true" outlineLevel="0" collapsed="false">
      <c r="A43" s="9" t="s">
        <v>213</v>
      </c>
      <c r="B43" s="10" t="n">
        <v>46291</v>
      </c>
      <c r="C43" s="11" t="n">
        <v>0.414710648148148</v>
      </c>
      <c r="D43" s="9" t="s">
        <v>40</v>
      </c>
      <c r="E43" s="9" t="s">
        <v>202</v>
      </c>
      <c r="F43" s="9" t="s">
        <v>42</v>
      </c>
      <c r="G43" s="9" t="s">
        <v>43</v>
      </c>
      <c r="H43" s="9" t="s">
        <v>83</v>
      </c>
      <c r="I43" s="9" t="s">
        <v>45</v>
      </c>
      <c r="J43" s="9" t="s">
        <v>203</v>
      </c>
      <c r="K43" s="9" t="s">
        <v>214</v>
      </c>
      <c r="L43" s="9" t="s">
        <v>215</v>
      </c>
      <c r="M43" s="9"/>
      <c r="N43" s="9" t="s">
        <v>216</v>
      </c>
      <c r="O43" s="9"/>
      <c r="P43" s="9"/>
      <c r="Q43" s="9"/>
      <c r="R43" s="9" t="s">
        <v>51</v>
      </c>
      <c r="S43" s="9" t="s">
        <v>52</v>
      </c>
      <c r="T43" s="9"/>
      <c r="U43" s="9"/>
      <c r="V43" s="9"/>
      <c r="W43" s="9"/>
      <c r="X43" s="9"/>
    </row>
    <row r="44" customFormat="false" ht="57" hidden="false" customHeight="true" outlineLevel="0" collapsed="false">
      <c r="A44" s="9" t="s">
        <v>217</v>
      </c>
      <c r="B44" s="10" t="n">
        <v>46291</v>
      </c>
      <c r="C44" s="11" t="n">
        <v>0.415752314814815</v>
      </c>
      <c r="D44" s="9" t="s">
        <v>40</v>
      </c>
      <c r="E44" s="9" t="s">
        <v>202</v>
      </c>
      <c r="F44" s="9" t="s">
        <v>42</v>
      </c>
      <c r="G44" s="9" t="s">
        <v>43</v>
      </c>
      <c r="H44" s="9" t="s">
        <v>83</v>
      </c>
      <c r="I44" s="9" t="s">
        <v>45</v>
      </c>
      <c r="J44" s="9" t="s">
        <v>218</v>
      </c>
      <c r="K44" s="9" t="s">
        <v>219</v>
      </c>
      <c r="L44" s="9" t="s">
        <v>220</v>
      </c>
      <c r="M44" s="9"/>
      <c r="N44" s="9" t="s">
        <v>221</v>
      </c>
      <c r="O44" s="9"/>
      <c r="P44" s="9"/>
      <c r="Q44" s="9"/>
      <c r="R44" s="9" t="s">
        <v>51</v>
      </c>
      <c r="S44" s="9" t="s">
        <v>52</v>
      </c>
      <c r="T44" s="9"/>
      <c r="U44" s="9"/>
      <c r="V44" s="9"/>
      <c r="W44" s="9"/>
      <c r="X44" s="9"/>
    </row>
    <row r="45" customFormat="false" ht="23.25" hidden="false" customHeight="true" outlineLevel="0" collapsed="false">
      <c r="A45" s="9" t="s">
        <v>222</v>
      </c>
      <c r="B45" s="10" t="n">
        <v>46291</v>
      </c>
      <c r="C45" s="11" t="n">
        <v>0.415763888888889</v>
      </c>
      <c r="D45" s="9" t="s">
        <v>40</v>
      </c>
      <c r="E45" s="9" t="s">
        <v>202</v>
      </c>
      <c r="F45" s="9" t="s">
        <v>42</v>
      </c>
      <c r="G45" s="9" t="s">
        <v>43</v>
      </c>
      <c r="H45" s="9" t="s">
        <v>83</v>
      </c>
      <c r="I45" s="9" t="s">
        <v>45</v>
      </c>
      <c r="J45" s="9" t="s">
        <v>218</v>
      </c>
      <c r="K45" s="9" t="s">
        <v>223</v>
      </c>
      <c r="L45" s="9" t="s">
        <v>224</v>
      </c>
      <c r="M45" s="9"/>
      <c r="N45" s="9" t="s">
        <v>225</v>
      </c>
      <c r="O45" s="9"/>
      <c r="P45" s="9"/>
      <c r="Q45" s="9"/>
      <c r="R45" s="9" t="s">
        <v>51</v>
      </c>
      <c r="S45" s="9" t="s">
        <v>52</v>
      </c>
      <c r="T45" s="9"/>
      <c r="U45" s="9"/>
      <c r="V45" s="9"/>
      <c r="W45" s="9"/>
      <c r="X45" s="9"/>
    </row>
    <row r="46" customFormat="false" ht="23.25" hidden="false" customHeight="true" outlineLevel="0" collapsed="false">
      <c r="A46" s="9" t="s">
        <v>226</v>
      </c>
      <c r="B46" s="10" t="n">
        <v>46291</v>
      </c>
      <c r="C46" s="11" t="n">
        <v>0.435486111111111</v>
      </c>
      <c r="D46" s="9" t="s">
        <v>40</v>
      </c>
      <c r="E46" s="9" t="s">
        <v>202</v>
      </c>
      <c r="F46" s="9" t="s">
        <v>42</v>
      </c>
      <c r="G46" s="9" t="s">
        <v>43</v>
      </c>
      <c r="H46" s="9" t="s">
        <v>83</v>
      </c>
      <c r="I46" s="9" t="s">
        <v>187</v>
      </c>
      <c r="J46" s="9" t="s">
        <v>227</v>
      </c>
      <c r="K46" s="9" t="s">
        <v>223</v>
      </c>
      <c r="L46" s="9"/>
      <c r="M46" s="9"/>
      <c r="N46" s="9" t="s">
        <v>228</v>
      </c>
      <c r="O46" s="9"/>
      <c r="P46" s="9" t="s">
        <v>224</v>
      </c>
      <c r="Q46" s="9" t="s">
        <v>229</v>
      </c>
      <c r="R46" s="9" t="s">
        <v>51</v>
      </c>
      <c r="S46" s="9" t="s">
        <v>52</v>
      </c>
      <c r="T46" s="9"/>
      <c r="U46" s="9"/>
      <c r="V46" s="9"/>
      <c r="W46" s="9"/>
      <c r="X46" s="9"/>
    </row>
    <row r="47" customFormat="false" ht="23.25" hidden="false" customHeight="true" outlineLevel="0" collapsed="false">
      <c r="A47" s="9" t="s">
        <v>230</v>
      </c>
      <c r="B47" s="10" t="n">
        <v>46291</v>
      </c>
      <c r="C47" s="11" t="n">
        <v>0.435486111111111</v>
      </c>
      <c r="D47" s="9" t="s">
        <v>40</v>
      </c>
      <c r="E47" s="9" t="s">
        <v>202</v>
      </c>
      <c r="F47" s="9" t="s">
        <v>42</v>
      </c>
      <c r="G47" s="9" t="s">
        <v>43</v>
      </c>
      <c r="H47" s="9" t="s">
        <v>83</v>
      </c>
      <c r="I47" s="9" t="s">
        <v>187</v>
      </c>
      <c r="J47" s="9" t="s">
        <v>227</v>
      </c>
      <c r="K47" s="9" t="s">
        <v>219</v>
      </c>
      <c r="L47" s="9"/>
      <c r="M47" s="9"/>
      <c r="N47" s="9" t="s">
        <v>231</v>
      </c>
      <c r="O47" s="9"/>
      <c r="P47" s="9" t="s">
        <v>220</v>
      </c>
      <c r="Q47" s="9" t="s">
        <v>232</v>
      </c>
      <c r="R47" s="9" t="s">
        <v>51</v>
      </c>
      <c r="S47" s="9" t="s">
        <v>52</v>
      </c>
      <c r="T47" s="9"/>
      <c r="U47" s="9"/>
      <c r="V47" s="9"/>
      <c r="W47" s="9"/>
      <c r="X47" s="9"/>
    </row>
    <row r="48" customFormat="false" ht="23.25" hidden="false" customHeight="true" outlineLevel="0" collapsed="false">
      <c r="A48" s="9" t="s">
        <v>233</v>
      </c>
      <c r="B48" s="10" t="n">
        <v>46291</v>
      </c>
      <c r="C48" s="11" t="n">
        <v>0.435486111111111</v>
      </c>
      <c r="D48" s="9" t="s">
        <v>40</v>
      </c>
      <c r="E48" s="9" t="s">
        <v>202</v>
      </c>
      <c r="F48" s="9" t="s">
        <v>42</v>
      </c>
      <c r="G48" s="9" t="s">
        <v>43</v>
      </c>
      <c r="H48" s="9" t="s">
        <v>83</v>
      </c>
      <c r="I48" s="9" t="s">
        <v>187</v>
      </c>
      <c r="J48" s="9" t="s">
        <v>227</v>
      </c>
      <c r="K48" s="9" t="s">
        <v>97</v>
      </c>
      <c r="L48" s="9"/>
      <c r="M48" s="9"/>
      <c r="N48" s="9" t="s">
        <v>234</v>
      </c>
      <c r="O48" s="9"/>
      <c r="P48" s="9" t="s">
        <v>98</v>
      </c>
      <c r="Q48" s="9" t="s">
        <v>235</v>
      </c>
      <c r="R48" s="9" t="s">
        <v>51</v>
      </c>
      <c r="S48" s="9" t="s">
        <v>52</v>
      </c>
      <c r="T48" s="9"/>
      <c r="U48" s="9"/>
      <c r="V48" s="9"/>
      <c r="W48" s="9"/>
      <c r="X48" s="9"/>
    </row>
    <row r="49" customFormat="false" ht="23.25" hidden="false" customHeight="true" outlineLevel="0" collapsed="false">
      <c r="A49" s="9" t="s">
        <v>236</v>
      </c>
      <c r="B49" s="10" t="n">
        <v>46291</v>
      </c>
      <c r="C49" s="11" t="n">
        <v>0.435486111111111</v>
      </c>
      <c r="D49" s="9" t="s">
        <v>40</v>
      </c>
      <c r="E49" s="9" t="s">
        <v>202</v>
      </c>
      <c r="F49" s="9" t="s">
        <v>42</v>
      </c>
      <c r="G49" s="9" t="s">
        <v>43</v>
      </c>
      <c r="H49" s="9" t="s">
        <v>83</v>
      </c>
      <c r="I49" s="9" t="s">
        <v>187</v>
      </c>
      <c r="J49" s="9" t="s">
        <v>227</v>
      </c>
      <c r="K49" s="9" t="s">
        <v>118</v>
      </c>
      <c r="L49" s="9"/>
      <c r="M49" s="9"/>
      <c r="N49" s="9" t="s">
        <v>237</v>
      </c>
      <c r="O49" s="9"/>
      <c r="P49" s="9" t="s">
        <v>119</v>
      </c>
      <c r="Q49" s="9" t="s">
        <v>238</v>
      </c>
      <c r="R49" s="9" t="s">
        <v>51</v>
      </c>
      <c r="S49" s="9" t="s">
        <v>52</v>
      </c>
      <c r="T49" s="9"/>
      <c r="U49" s="9"/>
      <c r="V49" s="9"/>
      <c r="W49" s="9"/>
      <c r="X49" s="9"/>
    </row>
    <row r="50" customFormat="false" ht="23.25" hidden="false" customHeight="true" outlineLevel="0" collapsed="false">
      <c r="A50" s="9" t="s">
        <v>239</v>
      </c>
      <c r="B50" s="10" t="n">
        <v>46291</v>
      </c>
      <c r="C50" s="11" t="n">
        <v>0.435486111111111</v>
      </c>
      <c r="D50" s="9" t="s">
        <v>40</v>
      </c>
      <c r="E50" s="9" t="s">
        <v>202</v>
      </c>
      <c r="F50" s="9" t="s">
        <v>42</v>
      </c>
      <c r="G50" s="9" t="s">
        <v>43</v>
      </c>
      <c r="H50" s="9" t="s">
        <v>83</v>
      </c>
      <c r="I50" s="9" t="s">
        <v>187</v>
      </c>
      <c r="J50" s="9" t="s">
        <v>227</v>
      </c>
      <c r="K50" s="9" t="s">
        <v>143</v>
      </c>
      <c r="L50" s="9"/>
      <c r="M50" s="9"/>
      <c r="N50" s="9" t="s">
        <v>240</v>
      </c>
      <c r="O50" s="9"/>
      <c r="P50" s="9" t="s">
        <v>144</v>
      </c>
      <c r="Q50" s="9" t="s">
        <v>241</v>
      </c>
      <c r="R50" s="9" t="s">
        <v>51</v>
      </c>
      <c r="S50" s="9" t="s">
        <v>52</v>
      </c>
      <c r="T50" s="9"/>
      <c r="U50" s="9"/>
      <c r="V50" s="9"/>
      <c r="W50" s="9"/>
      <c r="X50" s="9"/>
    </row>
    <row r="51" customFormat="false" ht="23.25" hidden="false" customHeight="true" outlineLevel="0" collapsed="false">
      <c r="A51" s="9" t="s">
        <v>242</v>
      </c>
      <c r="B51" s="10" t="n">
        <v>46291</v>
      </c>
      <c r="C51" s="11" t="n">
        <v>0.435486111111111</v>
      </c>
      <c r="D51" s="9" t="s">
        <v>40</v>
      </c>
      <c r="E51" s="9" t="s">
        <v>202</v>
      </c>
      <c r="F51" s="9" t="s">
        <v>42</v>
      </c>
      <c r="G51" s="9" t="s">
        <v>43</v>
      </c>
      <c r="H51" s="9" t="s">
        <v>83</v>
      </c>
      <c r="I51" s="9" t="s">
        <v>187</v>
      </c>
      <c r="J51" s="9" t="s">
        <v>227</v>
      </c>
      <c r="K51" s="9" t="s">
        <v>197</v>
      </c>
      <c r="L51" s="9"/>
      <c r="M51" s="9"/>
      <c r="N51" s="9" t="s">
        <v>240</v>
      </c>
      <c r="O51" s="9"/>
      <c r="P51" s="9" t="s">
        <v>198</v>
      </c>
      <c r="Q51" s="9" t="s">
        <v>243</v>
      </c>
      <c r="R51" s="9" t="s">
        <v>51</v>
      </c>
      <c r="S51" s="9" t="s">
        <v>52</v>
      </c>
      <c r="T51" s="9"/>
      <c r="U51" s="9"/>
      <c r="V51" s="9"/>
      <c r="W51" s="9"/>
      <c r="X51" s="9"/>
    </row>
    <row r="52" customFormat="false" ht="23.25" hidden="false" customHeight="true" outlineLevel="0" collapsed="false">
      <c r="A52" s="9" t="s">
        <v>244</v>
      </c>
      <c r="B52" s="10" t="n">
        <v>46291</v>
      </c>
      <c r="C52" s="11" t="n">
        <v>0.435486111111111</v>
      </c>
      <c r="D52" s="9" t="s">
        <v>40</v>
      </c>
      <c r="E52" s="9" t="s">
        <v>202</v>
      </c>
      <c r="F52" s="9" t="s">
        <v>42</v>
      </c>
      <c r="G52" s="9" t="s">
        <v>43</v>
      </c>
      <c r="H52" s="9" t="s">
        <v>83</v>
      </c>
      <c r="I52" s="9" t="s">
        <v>187</v>
      </c>
      <c r="J52" s="9" t="s">
        <v>227</v>
      </c>
      <c r="K52" s="9" t="s">
        <v>193</v>
      </c>
      <c r="L52" s="9"/>
      <c r="M52" s="9"/>
      <c r="N52" s="9" t="s">
        <v>240</v>
      </c>
      <c r="O52" s="9"/>
      <c r="P52" s="9" t="s">
        <v>194</v>
      </c>
      <c r="Q52" s="9" t="s">
        <v>245</v>
      </c>
      <c r="R52" s="9" t="s">
        <v>51</v>
      </c>
      <c r="S52" s="9" t="s">
        <v>52</v>
      </c>
      <c r="T52" s="9"/>
      <c r="U52" s="9"/>
      <c r="V52" s="9"/>
      <c r="W52" s="9"/>
      <c r="X52" s="9"/>
    </row>
    <row r="53" customFormat="false" ht="23.25" hidden="false" customHeight="true" outlineLevel="0" collapsed="false">
      <c r="A53" s="9" t="s">
        <v>246</v>
      </c>
      <c r="B53" s="10" t="n">
        <v>46291</v>
      </c>
      <c r="C53" s="11" t="n">
        <v>0.435486111111111</v>
      </c>
      <c r="D53" s="9" t="s">
        <v>40</v>
      </c>
      <c r="E53" s="9" t="s">
        <v>202</v>
      </c>
      <c r="F53" s="9" t="s">
        <v>42</v>
      </c>
      <c r="G53" s="9" t="s">
        <v>43</v>
      </c>
      <c r="H53" s="9" t="s">
        <v>83</v>
      </c>
      <c r="I53" s="9" t="s">
        <v>187</v>
      </c>
      <c r="J53" s="9" t="s">
        <v>227</v>
      </c>
      <c r="K53" s="9" t="s">
        <v>176</v>
      </c>
      <c r="L53" s="9"/>
      <c r="M53" s="9"/>
      <c r="N53" s="9" t="s">
        <v>240</v>
      </c>
      <c r="O53" s="9"/>
      <c r="P53" s="9" t="s">
        <v>177</v>
      </c>
      <c r="Q53" s="9" t="s">
        <v>247</v>
      </c>
      <c r="R53" s="9" t="s">
        <v>51</v>
      </c>
      <c r="S53" s="9" t="s">
        <v>52</v>
      </c>
      <c r="T53" s="9"/>
      <c r="U53" s="9"/>
      <c r="V53" s="9"/>
      <c r="W53" s="9"/>
      <c r="X53" s="9"/>
    </row>
    <row r="54" customFormat="false" ht="23.25" hidden="false" customHeight="true" outlineLevel="0" collapsed="false">
      <c r="A54" s="9" t="s">
        <v>248</v>
      </c>
      <c r="B54" s="10" t="n">
        <v>46291</v>
      </c>
      <c r="C54" s="11" t="n">
        <v>0.435486111111111</v>
      </c>
      <c r="D54" s="9" t="s">
        <v>40</v>
      </c>
      <c r="E54" s="9" t="s">
        <v>202</v>
      </c>
      <c r="F54" s="9" t="s">
        <v>42</v>
      </c>
      <c r="G54" s="9" t="s">
        <v>43</v>
      </c>
      <c r="H54" s="9" t="s">
        <v>83</v>
      </c>
      <c r="I54" s="9" t="s">
        <v>187</v>
      </c>
      <c r="J54" s="9" t="s">
        <v>227</v>
      </c>
      <c r="K54" s="9" t="s">
        <v>204</v>
      </c>
      <c r="L54" s="9"/>
      <c r="M54" s="9"/>
      <c r="N54" s="9" t="s">
        <v>249</v>
      </c>
      <c r="O54" s="9"/>
      <c r="P54" s="9" t="s">
        <v>205</v>
      </c>
      <c r="Q54" s="9" t="s">
        <v>250</v>
      </c>
      <c r="R54" s="9" t="s">
        <v>51</v>
      </c>
      <c r="S54" s="9" t="s">
        <v>52</v>
      </c>
      <c r="T54" s="9"/>
      <c r="U54" s="9"/>
      <c r="V54" s="9"/>
      <c r="W54" s="9"/>
      <c r="X54" s="9"/>
    </row>
    <row r="55" customFormat="false" ht="23.25" hidden="false" customHeight="true" outlineLevel="0" collapsed="false">
      <c r="A55" s="9" t="s">
        <v>251</v>
      </c>
      <c r="B55" s="10" t="n">
        <v>46291</v>
      </c>
      <c r="C55" s="11" t="n">
        <v>0.435486111111111</v>
      </c>
      <c r="D55" s="9" t="s">
        <v>40</v>
      </c>
      <c r="E55" s="9" t="s">
        <v>202</v>
      </c>
      <c r="F55" s="9" t="s">
        <v>42</v>
      </c>
      <c r="G55" s="9" t="s">
        <v>43</v>
      </c>
      <c r="H55" s="9" t="s">
        <v>83</v>
      </c>
      <c r="I55" s="9" t="s">
        <v>187</v>
      </c>
      <c r="J55" s="9" t="s">
        <v>227</v>
      </c>
      <c r="K55" s="9" t="s">
        <v>214</v>
      </c>
      <c r="L55" s="9"/>
      <c r="M55" s="9"/>
      <c r="N55" s="9" t="s">
        <v>249</v>
      </c>
      <c r="O55" s="9"/>
      <c r="P55" s="9" t="s">
        <v>215</v>
      </c>
      <c r="Q55" s="9" t="s">
        <v>252</v>
      </c>
      <c r="R55" s="9" t="s">
        <v>51</v>
      </c>
      <c r="S55" s="9" t="s">
        <v>52</v>
      </c>
      <c r="T55" s="9"/>
      <c r="U55" s="9"/>
      <c r="V55" s="9"/>
      <c r="W55" s="9"/>
      <c r="X55" s="9"/>
    </row>
    <row r="56" customFormat="false" ht="23.25" hidden="false" customHeight="true" outlineLevel="0" collapsed="false">
      <c r="A56" s="9" t="s">
        <v>253</v>
      </c>
      <c r="B56" s="10" t="n">
        <v>46291</v>
      </c>
      <c r="C56" s="11" t="n">
        <v>0.435763888888889</v>
      </c>
      <c r="D56" s="9" t="s">
        <v>40</v>
      </c>
      <c r="E56" s="9" t="s">
        <v>202</v>
      </c>
      <c r="F56" s="9" t="s">
        <v>42</v>
      </c>
      <c r="G56" s="9" t="s">
        <v>43</v>
      </c>
      <c r="H56" s="9" t="s">
        <v>83</v>
      </c>
      <c r="I56" s="9" t="s">
        <v>187</v>
      </c>
      <c r="J56" s="9" t="s">
        <v>227</v>
      </c>
      <c r="K56" s="9" t="s">
        <v>254</v>
      </c>
      <c r="L56" s="9" t="s">
        <v>254</v>
      </c>
      <c r="M56" s="9"/>
      <c r="N56" s="9" t="s">
        <v>255</v>
      </c>
      <c r="O56" s="9"/>
      <c r="P56" s="9"/>
      <c r="Q56" s="9"/>
      <c r="R56" s="9" t="s">
        <v>51</v>
      </c>
      <c r="S56" s="9" t="s">
        <v>52</v>
      </c>
      <c r="T56" s="9"/>
      <c r="U56" s="9"/>
      <c r="V56" s="9"/>
      <c r="W56" s="9"/>
      <c r="X56" s="9"/>
    </row>
    <row r="57" customFormat="false" ht="23.25" hidden="false" customHeight="true" outlineLevel="0" collapsed="false">
      <c r="A57" s="9" t="s">
        <v>256</v>
      </c>
      <c r="B57" s="10" t="n">
        <v>46291</v>
      </c>
      <c r="C57" s="11" t="n">
        <v>0.437268518518519</v>
      </c>
      <c r="D57" s="9" t="s">
        <v>40</v>
      </c>
      <c r="E57" s="9" t="s">
        <v>202</v>
      </c>
      <c r="F57" s="9" t="s">
        <v>42</v>
      </c>
      <c r="G57" s="9" t="s">
        <v>43</v>
      </c>
      <c r="H57" s="9" t="s">
        <v>83</v>
      </c>
      <c r="I57" s="9" t="s">
        <v>88</v>
      </c>
      <c r="J57" s="9" t="s">
        <v>227</v>
      </c>
      <c r="K57" s="9" t="s">
        <v>176</v>
      </c>
      <c r="L57" s="9" t="s">
        <v>247</v>
      </c>
      <c r="M57" s="9"/>
      <c r="N57" s="9" t="s">
        <v>257</v>
      </c>
      <c r="O57" s="9"/>
      <c r="P57" s="9"/>
      <c r="Q57" s="9"/>
      <c r="R57" s="9" t="s">
        <v>51</v>
      </c>
      <c r="S57" s="9" t="s">
        <v>52</v>
      </c>
      <c r="T57" s="9"/>
      <c r="U57" s="9"/>
      <c r="V57" s="9"/>
      <c r="W57" s="9"/>
      <c r="X57" s="9"/>
    </row>
    <row r="58" customFormat="false" ht="45.75" hidden="false" customHeight="true" outlineLevel="0" collapsed="false">
      <c r="A58" s="9" t="s">
        <v>258</v>
      </c>
      <c r="B58" s="10" t="n">
        <v>46291</v>
      </c>
      <c r="C58" s="11" t="n">
        <v>0.437268518518519</v>
      </c>
      <c r="D58" s="9" t="s">
        <v>40</v>
      </c>
      <c r="E58" s="9" t="s">
        <v>202</v>
      </c>
      <c r="F58" s="9" t="s">
        <v>42</v>
      </c>
      <c r="G58" s="9" t="s">
        <v>43</v>
      </c>
      <c r="H58" s="9" t="s">
        <v>83</v>
      </c>
      <c r="I58" s="9" t="s">
        <v>45</v>
      </c>
      <c r="J58" s="9" t="s">
        <v>227</v>
      </c>
      <c r="K58" s="9" t="s">
        <v>259</v>
      </c>
      <c r="L58" s="9" t="s">
        <v>260</v>
      </c>
      <c r="M58" s="9"/>
      <c r="N58" s="9" t="s">
        <v>261</v>
      </c>
      <c r="O58" s="9"/>
      <c r="P58" s="9"/>
      <c r="Q58" s="9"/>
      <c r="R58" s="9" t="s">
        <v>51</v>
      </c>
      <c r="S58" s="9" t="s">
        <v>52</v>
      </c>
      <c r="T58" s="9"/>
      <c r="U58" s="9"/>
      <c r="V58" s="9"/>
      <c r="W58" s="9"/>
      <c r="X58" s="9"/>
    </row>
    <row r="59" customFormat="false" ht="34.5" hidden="false" customHeight="true" outlineLevel="0" collapsed="false">
      <c r="A59" s="9" t="s">
        <v>262</v>
      </c>
      <c r="B59" s="10" t="n">
        <v>46291</v>
      </c>
      <c r="C59" s="11" t="n">
        <v>0.445081018518519</v>
      </c>
      <c r="D59" s="9" t="s">
        <v>40</v>
      </c>
      <c r="E59" s="9" t="s">
        <v>202</v>
      </c>
      <c r="F59" s="9" t="s">
        <v>42</v>
      </c>
      <c r="G59" s="9" t="s">
        <v>43</v>
      </c>
      <c r="H59" s="9" t="s">
        <v>83</v>
      </c>
      <c r="I59" s="9" t="s">
        <v>45</v>
      </c>
      <c r="J59" s="9" t="s">
        <v>263</v>
      </c>
      <c r="K59" s="9" t="s">
        <v>264</v>
      </c>
      <c r="L59" s="9" t="s">
        <v>265</v>
      </c>
      <c r="M59" s="9"/>
      <c r="N59" s="9" t="s">
        <v>266</v>
      </c>
      <c r="O59" s="9"/>
      <c r="P59" s="9"/>
      <c r="Q59" s="9"/>
      <c r="R59" s="9" t="s">
        <v>51</v>
      </c>
      <c r="S59" s="9" t="s">
        <v>52</v>
      </c>
      <c r="T59" s="9"/>
      <c r="U59" s="9"/>
      <c r="V59" s="9"/>
      <c r="W59" s="9"/>
      <c r="X59" s="9"/>
    </row>
    <row r="60" customFormat="false" ht="23.25" hidden="false" customHeight="true" outlineLevel="0" collapsed="false">
      <c r="A60" s="9" t="s">
        <v>267</v>
      </c>
      <c r="B60" s="10" t="n">
        <v>46291</v>
      </c>
      <c r="C60" s="11" t="n">
        <v>0.449895833333333</v>
      </c>
      <c r="D60" s="9" t="s">
        <v>40</v>
      </c>
      <c r="E60" s="9" t="s">
        <v>202</v>
      </c>
      <c r="F60" s="9" t="s">
        <v>42</v>
      </c>
      <c r="G60" s="9" t="s">
        <v>43</v>
      </c>
      <c r="H60" s="9" t="s">
        <v>83</v>
      </c>
      <c r="I60" s="9" t="s">
        <v>45</v>
      </c>
      <c r="J60" s="9" t="s">
        <v>263</v>
      </c>
      <c r="K60" s="9" t="s">
        <v>268</v>
      </c>
      <c r="L60" s="9" t="s">
        <v>269</v>
      </c>
      <c r="M60" s="9"/>
      <c r="N60" s="9" t="s">
        <v>270</v>
      </c>
      <c r="O60" s="9"/>
      <c r="P60" s="9"/>
      <c r="Q60" s="9"/>
      <c r="R60" s="9" t="s">
        <v>51</v>
      </c>
      <c r="S60" s="9" t="s">
        <v>52</v>
      </c>
      <c r="T60" s="9"/>
      <c r="U60" s="9"/>
      <c r="V60" s="9"/>
      <c r="W60" s="9"/>
      <c r="X60" s="9"/>
    </row>
    <row r="61" customFormat="false" ht="23.25" hidden="false" customHeight="true" outlineLevel="0" collapsed="false">
      <c r="A61" s="9" t="s">
        <v>271</v>
      </c>
      <c r="B61" s="10" t="n">
        <v>46291</v>
      </c>
      <c r="C61" s="11" t="n">
        <v>0.620289351851852</v>
      </c>
      <c r="D61" s="9" t="s">
        <v>40</v>
      </c>
      <c r="E61" s="9" t="s">
        <v>202</v>
      </c>
      <c r="F61" s="9" t="s">
        <v>42</v>
      </c>
      <c r="G61" s="9" t="s">
        <v>43</v>
      </c>
      <c r="H61" s="9" t="s">
        <v>83</v>
      </c>
      <c r="I61" s="9" t="s">
        <v>45</v>
      </c>
      <c r="J61" s="9" t="s">
        <v>263</v>
      </c>
      <c r="K61" s="9" t="s">
        <v>272</v>
      </c>
      <c r="L61" s="9" t="s">
        <v>273</v>
      </c>
      <c r="M61" s="9"/>
      <c r="N61" s="9" t="s">
        <v>274</v>
      </c>
      <c r="O61" s="9"/>
      <c r="P61" s="9"/>
      <c r="Q61" s="9"/>
      <c r="R61" s="9" t="s">
        <v>51</v>
      </c>
      <c r="S61" s="9" t="s">
        <v>52</v>
      </c>
      <c r="T61" s="9"/>
      <c r="U61" s="9"/>
      <c r="V61" s="9"/>
      <c r="W61" s="9"/>
      <c r="X61" s="9"/>
    </row>
    <row r="62" customFormat="false" ht="68.25" hidden="false" customHeight="true" outlineLevel="0" collapsed="false">
      <c r="A62" s="9" t="s">
        <v>275</v>
      </c>
      <c r="B62" s="10" t="n">
        <v>46291</v>
      </c>
      <c r="C62" s="11" t="n">
        <v>0.628275462962963</v>
      </c>
      <c r="D62" s="9" t="s">
        <v>40</v>
      </c>
      <c r="E62" s="9" t="s">
        <v>202</v>
      </c>
      <c r="F62" s="9" t="s">
        <v>42</v>
      </c>
      <c r="G62" s="9" t="s">
        <v>43</v>
      </c>
      <c r="H62" s="9" t="s">
        <v>83</v>
      </c>
      <c r="I62" s="9" t="s">
        <v>128</v>
      </c>
      <c r="J62" s="9" t="s">
        <v>276</v>
      </c>
      <c r="K62" s="9"/>
      <c r="L62" s="9"/>
      <c r="M62" s="9"/>
      <c r="N62" s="9" t="s">
        <v>277</v>
      </c>
      <c r="O62" s="9" t="s">
        <v>278</v>
      </c>
      <c r="P62" s="9"/>
      <c r="Q62" s="9"/>
      <c r="R62" s="9" t="s">
        <v>51</v>
      </c>
      <c r="S62" s="9" t="s">
        <v>52</v>
      </c>
      <c r="T62" s="9"/>
      <c r="U62" s="9"/>
      <c r="V62" s="9"/>
      <c r="W62" s="9"/>
      <c r="X62" s="9"/>
    </row>
    <row r="63" customFormat="false" ht="23.25" hidden="false" customHeight="true" outlineLevel="0" collapsed="false">
      <c r="A63" s="9" t="s">
        <v>279</v>
      </c>
      <c r="B63" s="10" t="n">
        <v>46291</v>
      </c>
      <c r="C63" s="11" t="n">
        <v>0.631400462962963</v>
      </c>
      <c r="D63" s="9" t="s">
        <v>40</v>
      </c>
      <c r="E63" s="9" t="s">
        <v>202</v>
      </c>
      <c r="F63" s="9" t="s">
        <v>42</v>
      </c>
      <c r="G63" s="9" t="s">
        <v>43</v>
      </c>
      <c r="H63" s="9" t="s">
        <v>83</v>
      </c>
      <c r="I63" s="9" t="s">
        <v>45</v>
      </c>
      <c r="J63" s="9" t="s">
        <v>280</v>
      </c>
      <c r="K63" s="9" t="s">
        <v>281</v>
      </c>
      <c r="L63" s="9" t="s">
        <v>282</v>
      </c>
      <c r="M63" s="9"/>
      <c r="N63" s="9" t="s">
        <v>283</v>
      </c>
      <c r="O63" s="9"/>
      <c r="P63" s="9"/>
      <c r="Q63" s="9"/>
      <c r="R63" s="9" t="s">
        <v>51</v>
      </c>
      <c r="S63" s="9" t="s">
        <v>52</v>
      </c>
      <c r="T63" s="9"/>
      <c r="U63" s="9"/>
      <c r="V63" s="9"/>
      <c r="W63" s="9"/>
      <c r="X63" s="9"/>
    </row>
    <row r="64" customFormat="false" ht="113.25" hidden="false" customHeight="true" outlineLevel="0" collapsed="false">
      <c r="A64" s="9" t="s">
        <v>284</v>
      </c>
      <c r="B64" s="10" t="n">
        <v>46291</v>
      </c>
      <c r="C64" s="11" t="n">
        <v>0.63837962962963</v>
      </c>
      <c r="D64" s="9" t="s">
        <v>40</v>
      </c>
      <c r="E64" s="9" t="s">
        <v>202</v>
      </c>
      <c r="F64" s="9" t="s">
        <v>42</v>
      </c>
      <c r="G64" s="9" t="s">
        <v>43</v>
      </c>
      <c r="H64" s="9" t="s">
        <v>83</v>
      </c>
      <c r="I64" s="9" t="s">
        <v>61</v>
      </c>
      <c r="J64" s="9" t="s">
        <v>285</v>
      </c>
      <c r="K64" s="9"/>
      <c r="L64" s="9"/>
      <c r="M64" s="9"/>
      <c r="N64" s="9" t="s">
        <v>286</v>
      </c>
      <c r="O64" s="9" t="s">
        <v>287</v>
      </c>
      <c r="P64" s="9"/>
      <c r="Q64" s="9"/>
      <c r="R64" s="9" t="s">
        <v>51</v>
      </c>
      <c r="S64" s="9" t="s">
        <v>52</v>
      </c>
      <c r="T64" s="9"/>
      <c r="U64" s="9"/>
      <c r="V64" s="9"/>
      <c r="W64" s="9"/>
      <c r="X64" s="9"/>
    </row>
    <row r="65" customFormat="false" ht="34.5" hidden="false" customHeight="true" outlineLevel="0" collapsed="false">
      <c r="A65" s="9" t="s">
        <v>288</v>
      </c>
      <c r="B65" s="10" t="n">
        <v>46291</v>
      </c>
      <c r="C65" s="11" t="n">
        <v>0.63837962962963</v>
      </c>
      <c r="D65" s="9" t="s">
        <v>40</v>
      </c>
      <c r="E65" s="9" t="s">
        <v>202</v>
      </c>
      <c r="F65" s="9" t="s">
        <v>42</v>
      </c>
      <c r="G65" s="9" t="s">
        <v>43</v>
      </c>
      <c r="H65" s="9" t="s">
        <v>83</v>
      </c>
      <c r="I65" s="9" t="s">
        <v>61</v>
      </c>
      <c r="J65" s="9" t="s">
        <v>285</v>
      </c>
      <c r="K65" s="9"/>
      <c r="L65" s="9"/>
      <c r="M65" s="9"/>
      <c r="N65" s="9" t="s">
        <v>289</v>
      </c>
      <c r="O65" s="9" t="s">
        <v>290</v>
      </c>
      <c r="P65" s="9"/>
      <c r="Q65" s="9"/>
      <c r="R65" s="9" t="s">
        <v>51</v>
      </c>
      <c r="S65" s="9" t="s">
        <v>52</v>
      </c>
      <c r="T65" s="9"/>
      <c r="U65" s="9"/>
      <c r="V65" s="9"/>
      <c r="W65" s="9"/>
      <c r="X65" s="9"/>
    </row>
    <row r="66" customFormat="false" ht="113.25" hidden="false" customHeight="true" outlineLevel="0" collapsed="false">
      <c r="A66" s="9" t="s">
        <v>291</v>
      </c>
      <c r="B66" s="10" t="n">
        <v>46291</v>
      </c>
      <c r="C66" s="11" t="n">
        <v>0.639155092592593</v>
      </c>
      <c r="D66" s="9" t="s">
        <v>40</v>
      </c>
      <c r="E66" s="9" t="s">
        <v>202</v>
      </c>
      <c r="F66" s="9" t="s">
        <v>42</v>
      </c>
      <c r="G66" s="9" t="s">
        <v>43</v>
      </c>
      <c r="H66" s="9" t="s">
        <v>83</v>
      </c>
      <c r="I66" s="9" t="s">
        <v>92</v>
      </c>
      <c r="J66" s="9" t="s">
        <v>285</v>
      </c>
      <c r="K66" s="9" t="s">
        <v>292</v>
      </c>
      <c r="L66" s="9"/>
      <c r="M66" s="9"/>
      <c r="N66" s="9" t="s">
        <v>293</v>
      </c>
      <c r="O66" s="9"/>
      <c r="P66" s="9"/>
      <c r="Q66" s="9"/>
      <c r="R66" s="9" t="s">
        <v>51</v>
      </c>
      <c r="S66" s="9" t="s">
        <v>52</v>
      </c>
      <c r="T66" s="9"/>
      <c r="U66" s="9"/>
      <c r="V66" s="9"/>
      <c r="W66" s="9"/>
      <c r="X66" s="9" t="s">
        <v>294</v>
      </c>
    </row>
    <row r="67" customFormat="false" ht="23.25" hidden="false" customHeight="true" outlineLevel="0" collapsed="false">
      <c r="A67" s="9" t="s">
        <v>295</v>
      </c>
      <c r="B67" s="10" t="n">
        <v>46291</v>
      </c>
      <c r="C67" s="11" t="n">
        <v>0.639166666666667</v>
      </c>
      <c r="D67" s="9" t="s">
        <v>40</v>
      </c>
      <c r="E67" s="9" t="s">
        <v>202</v>
      </c>
      <c r="F67" s="9" t="s">
        <v>42</v>
      </c>
      <c r="G67" s="9" t="s">
        <v>43</v>
      </c>
      <c r="H67" s="9" t="s">
        <v>83</v>
      </c>
      <c r="I67" s="9" t="s">
        <v>45</v>
      </c>
      <c r="J67" s="9" t="s">
        <v>285</v>
      </c>
      <c r="K67" s="9" t="s">
        <v>292</v>
      </c>
      <c r="L67" s="9" t="s">
        <v>296</v>
      </c>
      <c r="M67" s="9"/>
      <c r="N67" s="9" t="s">
        <v>297</v>
      </c>
      <c r="O67" s="9"/>
      <c r="P67" s="9"/>
      <c r="Q67" s="9"/>
      <c r="R67" s="9" t="s">
        <v>51</v>
      </c>
      <c r="S67" s="9" t="s">
        <v>52</v>
      </c>
      <c r="T67" s="9"/>
      <c r="U67" s="9"/>
      <c r="V67" s="9"/>
      <c r="W67" s="9"/>
      <c r="X67" s="9"/>
    </row>
    <row r="68" customFormat="false" ht="45.75" hidden="false" customHeight="true" outlineLevel="0" collapsed="false">
      <c r="A68" s="9" t="s">
        <v>298</v>
      </c>
      <c r="B68" s="10" t="n">
        <v>46291</v>
      </c>
      <c r="C68" s="11" t="n">
        <v>0.640219907407407</v>
      </c>
      <c r="D68" s="9" t="s">
        <v>40</v>
      </c>
      <c r="E68" s="9" t="s">
        <v>202</v>
      </c>
      <c r="F68" s="9" t="s">
        <v>42</v>
      </c>
      <c r="G68" s="9" t="s">
        <v>43</v>
      </c>
      <c r="H68" s="9" t="s">
        <v>83</v>
      </c>
      <c r="I68" s="9" t="s">
        <v>45</v>
      </c>
      <c r="J68" s="9" t="s">
        <v>285</v>
      </c>
      <c r="K68" s="9" t="s">
        <v>299</v>
      </c>
      <c r="L68" s="9" t="s">
        <v>300</v>
      </c>
      <c r="M68" s="9"/>
      <c r="N68" s="9" t="s">
        <v>301</v>
      </c>
      <c r="O68" s="9"/>
      <c r="P68" s="9"/>
      <c r="Q68" s="9"/>
      <c r="R68" s="9" t="s">
        <v>51</v>
      </c>
      <c r="S68" s="9" t="s">
        <v>52</v>
      </c>
      <c r="T68" s="9"/>
      <c r="U68" s="9"/>
      <c r="V68" s="9"/>
      <c r="W68" s="9"/>
      <c r="X68" s="9"/>
    </row>
    <row r="69" customFormat="false" ht="34.5" hidden="false" customHeight="true" outlineLevel="0" collapsed="false">
      <c r="A69" s="9" t="s">
        <v>302</v>
      </c>
      <c r="B69" s="10" t="n">
        <v>46291</v>
      </c>
      <c r="C69" s="11" t="n">
        <v>0.645578703703704</v>
      </c>
      <c r="D69" s="9" t="s">
        <v>40</v>
      </c>
      <c r="E69" s="9" t="s">
        <v>202</v>
      </c>
      <c r="F69" s="9" t="s">
        <v>42</v>
      </c>
      <c r="G69" s="9" t="s">
        <v>43</v>
      </c>
      <c r="H69" s="9" t="s">
        <v>83</v>
      </c>
      <c r="I69" s="9" t="s">
        <v>45</v>
      </c>
      <c r="J69" s="9" t="s">
        <v>303</v>
      </c>
      <c r="K69" s="9" t="s">
        <v>304</v>
      </c>
      <c r="L69" s="9" t="s">
        <v>305</v>
      </c>
      <c r="M69" s="9"/>
      <c r="N69" s="9" t="s">
        <v>306</v>
      </c>
      <c r="O69" s="9"/>
      <c r="P69" s="9"/>
      <c r="Q69" s="9"/>
      <c r="R69" s="9" t="s">
        <v>51</v>
      </c>
      <c r="S69" s="9" t="s">
        <v>52</v>
      </c>
      <c r="T69" s="9"/>
      <c r="U69" s="9"/>
      <c r="V69" s="9"/>
      <c r="W69" s="9"/>
      <c r="X69" s="9"/>
    </row>
    <row r="70" customFormat="false" ht="34.5" hidden="false" customHeight="true" outlineLevel="0" collapsed="false">
      <c r="A70" s="9" t="s">
        <v>307</v>
      </c>
      <c r="B70" s="10" t="n">
        <v>46291</v>
      </c>
      <c r="C70" s="11" t="n">
        <v>0.645578703703704</v>
      </c>
      <c r="D70" s="9" t="s">
        <v>40</v>
      </c>
      <c r="E70" s="9" t="s">
        <v>202</v>
      </c>
      <c r="F70" s="9" t="s">
        <v>42</v>
      </c>
      <c r="G70" s="9" t="s">
        <v>43</v>
      </c>
      <c r="H70" s="9" t="s">
        <v>83</v>
      </c>
      <c r="I70" s="9" t="s">
        <v>45</v>
      </c>
      <c r="J70" s="9" t="s">
        <v>303</v>
      </c>
      <c r="K70" s="9" t="s">
        <v>308</v>
      </c>
      <c r="L70" s="9" t="s">
        <v>309</v>
      </c>
      <c r="M70" s="9"/>
      <c r="N70" s="9" t="s">
        <v>310</v>
      </c>
      <c r="O70" s="9"/>
      <c r="P70" s="9"/>
      <c r="Q70" s="9"/>
      <c r="R70" s="9" t="s">
        <v>51</v>
      </c>
      <c r="S70" s="9" t="s">
        <v>52</v>
      </c>
      <c r="T70" s="9"/>
      <c r="U70" s="9"/>
      <c r="V70" s="9"/>
      <c r="W70" s="9"/>
      <c r="X70" s="9"/>
    </row>
    <row r="71" customFormat="false" ht="68.25" hidden="false" customHeight="true" outlineLevel="0" collapsed="false">
      <c r="A71" s="9" t="s">
        <v>311</v>
      </c>
      <c r="B71" s="10" t="n">
        <v>46291</v>
      </c>
      <c r="C71" s="11" t="n">
        <v>0.645578703703704</v>
      </c>
      <c r="D71" s="9" t="s">
        <v>40</v>
      </c>
      <c r="E71" s="9" t="s">
        <v>202</v>
      </c>
      <c r="F71" s="9" t="s">
        <v>42</v>
      </c>
      <c r="G71" s="9" t="s">
        <v>43</v>
      </c>
      <c r="H71" s="9" t="s">
        <v>83</v>
      </c>
      <c r="I71" s="9" t="s">
        <v>147</v>
      </c>
      <c r="J71" s="9" t="s">
        <v>303</v>
      </c>
      <c r="K71" s="9"/>
      <c r="L71" s="9"/>
      <c r="M71" s="9"/>
      <c r="N71" s="9" t="s">
        <v>312</v>
      </c>
      <c r="O71" s="9"/>
      <c r="P71" s="9"/>
      <c r="Q71" s="9"/>
      <c r="R71" s="9" t="s">
        <v>51</v>
      </c>
      <c r="S71" s="9" t="s">
        <v>52</v>
      </c>
      <c r="T71" s="9"/>
      <c r="U71" s="9"/>
      <c r="V71" s="9"/>
      <c r="W71" s="9"/>
      <c r="X71" s="9"/>
    </row>
    <row r="72" customFormat="false" ht="34.5" hidden="false" customHeight="true" outlineLevel="0" collapsed="false">
      <c r="A72" s="9" t="s">
        <v>313</v>
      </c>
      <c r="B72" s="10" t="n">
        <v>46291</v>
      </c>
      <c r="C72" s="11" t="n">
        <v>0.645590277777778</v>
      </c>
      <c r="D72" s="9" t="s">
        <v>40</v>
      </c>
      <c r="E72" s="9" t="s">
        <v>202</v>
      </c>
      <c r="F72" s="9" t="s">
        <v>42</v>
      </c>
      <c r="G72" s="9" t="s">
        <v>43</v>
      </c>
      <c r="H72" s="9" t="s">
        <v>83</v>
      </c>
      <c r="I72" s="9" t="s">
        <v>45</v>
      </c>
      <c r="J72" s="9" t="s">
        <v>303</v>
      </c>
      <c r="K72" s="9" t="s">
        <v>314</v>
      </c>
      <c r="L72" s="9" t="s">
        <v>315</v>
      </c>
      <c r="M72" s="9"/>
      <c r="N72" s="9" t="s">
        <v>316</v>
      </c>
      <c r="O72" s="9"/>
      <c r="P72" s="9"/>
      <c r="Q72" s="9"/>
      <c r="R72" s="9" t="s">
        <v>51</v>
      </c>
      <c r="S72" s="9" t="s">
        <v>52</v>
      </c>
      <c r="T72" s="9"/>
      <c r="U72" s="9"/>
      <c r="V72" s="9"/>
      <c r="W72" s="9"/>
      <c r="X72" s="9"/>
    </row>
    <row r="73" customFormat="false" ht="45.75" hidden="false" customHeight="true" outlineLevel="0" collapsed="false">
      <c r="A73" s="9" t="s">
        <v>317</v>
      </c>
      <c r="B73" s="10" t="n">
        <v>46291</v>
      </c>
      <c r="C73" s="11" t="n">
        <v>0.838344907407407</v>
      </c>
      <c r="D73" s="9" t="s">
        <v>40</v>
      </c>
      <c r="E73" s="9" t="s">
        <v>202</v>
      </c>
      <c r="F73" s="9" t="s">
        <v>42</v>
      </c>
      <c r="G73" s="9" t="s">
        <v>43</v>
      </c>
      <c r="H73" s="9" t="s">
        <v>83</v>
      </c>
      <c r="I73" s="9" t="s">
        <v>92</v>
      </c>
      <c r="J73" s="9" t="s">
        <v>318</v>
      </c>
      <c r="K73" s="9"/>
      <c r="L73" s="9"/>
      <c r="M73" s="9"/>
      <c r="N73" s="9" t="s">
        <v>319</v>
      </c>
      <c r="O73" s="9"/>
      <c r="P73" s="9"/>
      <c r="Q73" s="9"/>
      <c r="R73" s="9" t="s">
        <v>51</v>
      </c>
      <c r="S73" s="9" t="s">
        <v>52</v>
      </c>
      <c r="T73" s="9"/>
      <c r="U73" s="9"/>
      <c r="V73" s="9"/>
      <c r="W73" s="9"/>
      <c r="X73" s="9"/>
    </row>
    <row r="74" customFormat="false" ht="57.45" hidden="false" customHeight="false" outlineLevel="0" collapsed="false">
      <c r="A74" s="9" t="s">
        <v>320</v>
      </c>
      <c r="B74" s="10" t="n">
        <v>46291</v>
      </c>
      <c r="C74" s="11" t="n">
        <v>0.841377314814815</v>
      </c>
      <c r="D74" s="9" t="s">
        <v>40</v>
      </c>
      <c r="E74" s="9" t="s">
        <v>202</v>
      </c>
      <c r="F74" s="9" t="s">
        <v>42</v>
      </c>
      <c r="G74" s="9" t="s">
        <v>43</v>
      </c>
      <c r="H74" s="9" t="s">
        <v>83</v>
      </c>
      <c r="I74" s="9" t="s">
        <v>187</v>
      </c>
      <c r="J74" s="9" t="s">
        <v>318</v>
      </c>
      <c r="K74" s="9" t="s">
        <v>259</v>
      </c>
      <c r="L74" s="9" t="s">
        <v>260</v>
      </c>
      <c r="M74" s="9"/>
      <c r="N74" s="9" t="s">
        <v>321</v>
      </c>
      <c r="O74" s="9"/>
      <c r="P74" s="9"/>
      <c r="Q74" s="9"/>
      <c r="R74" s="9" t="s">
        <v>51</v>
      </c>
      <c r="S74" s="9" t="s">
        <v>52</v>
      </c>
      <c r="T74" s="9"/>
      <c r="U74" s="9"/>
      <c r="V74" s="9"/>
      <c r="W74" s="9"/>
      <c r="X74" s="9"/>
    </row>
  </sheetData>
  <autoFilter ref="A1:X1"/>
  <dataValidations count="4">
    <dataValidation allowBlank="true" errorStyle="stop" operator="between" showDropDown="false" showErrorMessage="false" showInputMessage="false" sqref="I2:I1009" type="list">
      <formula1>"EXPLORE,DISCOVER,CREATE,MODIFY,FIX,DELETE,RUN,VERIFY,DECISION,NOTE"</formula1>
      <formula2>0</formula2>
    </dataValidation>
    <dataValidation allowBlank="true" errorStyle="stop" operator="between" showDropDown="false" showErrorMessage="false" showInputMessage="false" sqref="R2:R1009" type="list">
      <formula1>"Info,Low,Medium,High,Critical"</formula1>
      <formula2>0</formula2>
    </dataValidation>
    <dataValidation allowBlank="true" errorStyle="stop" operator="between" showDropDown="false" showErrorMessage="false" showInputMessage="false" sqref="S2:S1009" type="list">
      <formula1>"Done,Open,Needs-confirmation,Reverted,Wontfix"</formula1>
      <formula2>0</formula2>
    </dataValidation>
    <dataValidation allowBlank="true" errorStyle="stop" operator="between" showDropDown="false" showErrorMessage="false" showInputMessage="false" sqref="G2:G1009" type="list">
      <formula1>"AI,Human,Tool"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12"/>
    <col collapsed="false" customWidth="true" hidden="false" outlineLevel="0" max="3" min="3" style="1" width="11"/>
    <col collapsed="false" customWidth="true" hidden="false" outlineLevel="0" max="4" min="4" style="1" width="22"/>
    <col collapsed="false" customWidth="true" hidden="false" outlineLevel="0" max="5" min="5" style="1" width="20"/>
    <col collapsed="false" customWidth="true" hidden="false" outlineLevel="0" max="6" min="6" style="1" width="26"/>
    <col collapsed="false" customWidth="true" hidden="false" outlineLevel="0" max="7" min="7" style="1" width="22"/>
    <col collapsed="false" customWidth="true" hidden="false" outlineLevel="0" max="8" min="8" style="1" width="60"/>
    <col collapsed="false" customWidth="true" hidden="false" outlineLevel="0" max="9" min="9" style="1" width="50"/>
    <col collapsed="false" customWidth="true" hidden="false" outlineLevel="0" max="10" min="10" style="1" width="44"/>
    <col collapsed="false" customWidth="true" hidden="false" outlineLevel="0" max="11" min="11" style="1" width="18"/>
    <col collapsed="false" customWidth="true" hidden="false" outlineLevel="0" max="12" min="12" style="1" width="16"/>
  </cols>
  <sheetData>
    <row r="1" customFormat="false" ht="31.5" hidden="false" customHeight="true" outlineLevel="0" collapsed="false">
      <c r="A1" s="5" t="s">
        <v>322</v>
      </c>
      <c r="B1" s="5" t="s">
        <v>323</v>
      </c>
      <c r="C1" s="5" t="s">
        <v>9</v>
      </c>
      <c r="D1" s="5" t="s">
        <v>324</v>
      </c>
      <c r="E1" s="5" t="s">
        <v>26</v>
      </c>
      <c r="F1" s="5" t="s">
        <v>27</v>
      </c>
      <c r="G1" s="5" t="s">
        <v>325</v>
      </c>
      <c r="H1" s="5" t="s">
        <v>326</v>
      </c>
      <c r="I1" s="5" t="s">
        <v>327</v>
      </c>
      <c r="J1" s="5" t="s">
        <v>328</v>
      </c>
      <c r="K1" s="5" t="s">
        <v>11</v>
      </c>
      <c r="L1" s="5" t="s">
        <v>329</v>
      </c>
    </row>
    <row r="2" customFormat="false" ht="45.75" hidden="false" customHeight="true" outlineLevel="0" collapsed="false">
      <c r="A2" s="6" t="s">
        <v>330</v>
      </c>
      <c r="B2" s="7" t="n">
        <v>46288</v>
      </c>
      <c r="C2" s="6" t="s">
        <v>331</v>
      </c>
      <c r="D2" s="6" t="s">
        <v>332</v>
      </c>
      <c r="E2" s="6" t="s">
        <v>93</v>
      </c>
      <c r="F2" s="6" t="s">
        <v>333</v>
      </c>
      <c r="G2" s="6"/>
      <c r="H2" s="6" t="s">
        <v>334</v>
      </c>
      <c r="I2" s="6" t="s">
        <v>335</v>
      </c>
      <c r="J2" s="6" t="s">
        <v>336</v>
      </c>
      <c r="K2" s="6" t="s">
        <v>52</v>
      </c>
      <c r="L2" s="6"/>
    </row>
    <row r="3" customFormat="false" ht="57" hidden="false" customHeight="true" outlineLevel="0" collapsed="false">
      <c r="A3" s="9" t="s">
        <v>337</v>
      </c>
      <c r="B3" s="10" t="n">
        <v>46289</v>
      </c>
      <c r="C3" s="9" t="s">
        <v>338</v>
      </c>
      <c r="D3" s="9" t="s">
        <v>339</v>
      </c>
      <c r="E3" s="9" t="s">
        <v>114</v>
      </c>
      <c r="F3" s="9" t="s">
        <v>340</v>
      </c>
      <c r="G3" s="9"/>
      <c r="H3" s="9" t="s">
        <v>341</v>
      </c>
      <c r="I3" s="9" t="s">
        <v>342</v>
      </c>
      <c r="J3" s="9" t="s">
        <v>343</v>
      </c>
      <c r="K3" s="9" t="s">
        <v>344</v>
      </c>
      <c r="L3" s="9"/>
    </row>
    <row r="4" customFormat="false" ht="90.75" hidden="false" customHeight="true" outlineLevel="0" collapsed="false">
      <c r="A4" s="9" t="s">
        <v>345</v>
      </c>
      <c r="B4" s="10" t="n">
        <v>46289</v>
      </c>
      <c r="C4" s="12" t="s">
        <v>346</v>
      </c>
      <c r="D4" s="9" t="s">
        <v>347</v>
      </c>
      <c r="E4" s="9" t="s">
        <v>131</v>
      </c>
      <c r="F4" s="9" t="s">
        <v>348</v>
      </c>
      <c r="G4" s="9" t="s">
        <v>349</v>
      </c>
      <c r="H4" s="9" t="s">
        <v>350</v>
      </c>
      <c r="I4" s="9" t="s">
        <v>351</v>
      </c>
      <c r="J4" s="9" t="s">
        <v>352</v>
      </c>
      <c r="K4" s="9" t="s">
        <v>52</v>
      </c>
      <c r="L4" s="9"/>
    </row>
    <row r="5" customFormat="false" ht="57" hidden="false" customHeight="true" outlineLevel="0" collapsed="false">
      <c r="A5" s="9" t="s">
        <v>185</v>
      </c>
      <c r="B5" s="10" t="n">
        <v>46290</v>
      </c>
      <c r="C5" s="9" t="s">
        <v>331</v>
      </c>
      <c r="D5" s="9" t="s">
        <v>353</v>
      </c>
      <c r="E5" s="9" t="s">
        <v>166</v>
      </c>
      <c r="F5" s="9" t="s">
        <v>354</v>
      </c>
      <c r="G5" s="9"/>
      <c r="H5" s="9" t="s">
        <v>355</v>
      </c>
      <c r="I5" s="9" t="s">
        <v>356</v>
      </c>
      <c r="J5" s="9" t="s">
        <v>357</v>
      </c>
      <c r="K5" s="9" t="s">
        <v>52</v>
      </c>
      <c r="L5" s="9"/>
    </row>
    <row r="6" customFormat="false" ht="57" hidden="false" customHeight="true" outlineLevel="0" collapsed="false">
      <c r="A6" s="9" t="s">
        <v>358</v>
      </c>
      <c r="B6" s="10" t="n">
        <v>46290</v>
      </c>
      <c r="C6" s="9" t="s">
        <v>331</v>
      </c>
      <c r="D6" s="9" t="s">
        <v>353</v>
      </c>
      <c r="E6" s="9" t="s">
        <v>166</v>
      </c>
      <c r="F6" s="9" t="s">
        <v>354</v>
      </c>
      <c r="G6" s="9"/>
      <c r="H6" s="9" t="s">
        <v>355</v>
      </c>
      <c r="I6" s="9" t="s">
        <v>356</v>
      </c>
      <c r="J6" s="9" t="s">
        <v>359</v>
      </c>
      <c r="K6" s="9" t="s">
        <v>52</v>
      </c>
      <c r="L6" s="9"/>
    </row>
    <row r="7" customFormat="false" ht="68.25" hidden="false" customHeight="true" outlineLevel="0" collapsed="false">
      <c r="A7" s="9" t="s">
        <v>360</v>
      </c>
      <c r="B7" s="10" t="n">
        <v>46291</v>
      </c>
      <c r="C7" s="9" t="s">
        <v>331</v>
      </c>
      <c r="D7" s="9" t="s">
        <v>361</v>
      </c>
      <c r="E7" s="9" t="s">
        <v>285</v>
      </c>
      <c r="F7" s="9" t="s">
        <v>362</v>
      </c>
      <c r="G7" s="9"/>
      <c r="H7" s="9" t="s">
        <v>363</v>
      </c>
      <c r="I7" s="9" t="s">
        <v>364</v>
      </c>
      <c r="J7" s="9" t="s">
        <v>365</v>
      </c>
      <c r="K7" s="9" t="s">
        <v>366</v>
      </c>
      <c r="L7" s="9"/>
    </row>
  </sheetData>
  <autoFilter ref="A1:L1"/>
  <dataValidations count="2">
    <dataValidation allowBlank="true" errorStyle="stop" operator="between" showDropDown="false" showErrorMessage="false" showInputMessage="false" sqref="C2:C1001" type="list">
      <formula1>"Info,Low,Medium,High,Critical"</formula1>
      <formula2>0</formula2>
    </dataValidation>
    <dataValidation allowBlank="true" errorStyle="stop" operator="between" showDropDown="false" showErrorMessage="false" showInputMessage="false" sqref="K2:K1001" type="list">
      <formula1>"Done,Open,Needs-confirmation,Reverted,Wontfix"</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6"/>
    <col collapsed="false" customWidth="true" hidden="false" outlineLevel="0" max="2" min="2" style="1" width="10"/>
    <col collapsed="false" customWidth="true" hidden="false" outlineLevel="0" max="3" min="3" style="1" width="16"/>
    <col collapsed="false" customWidth="true" hidden="false" outlineLevel="0" max="4" min="4" style="1" width="66"/>
    <col collapsed="false" customWidth="true" hidden="false" outlineLevel="0" max="5" min="5" style="1" width="40"/>
    <col collapsed="false" customWidth="true" hidden="false" outlineLevel="0" max="7" min="6" style="1" width="14"/>
  </cols>
  <sheetData>
    <row r="1" customFormat="false" ht="31.5" hidden="false" customHeight="true" outlineLevel="0" collapsed="false">
      <c r="A1" s="5" t="s">
        <v>28</v>
      </c>
      <c r="B1" s="5" t="s">
        <v>367</v>
      </c>
      <c r="C1" s="5" t="s">
        <v>368</v>
      </c>
      <c r="D1" s="5" t="s">
        <v>369</v>
      </c>
      <c r="E1" s="5" t="s">
        <v>370</v>
      </c>
      <c r="F1" s="5" t="s">
        <v>371</v>
      </c>
      <c r="G1" s="5" t="s">
        <v>372</v>
      </c>
    </row>
    <row r="2" customFormat="false" ht="23.25" hidden="false" customHeight="true" outlineLevel="0" collapsed="false">
      <c r="A2" s="6" t="s">
        <v>333</v>
      </c>
      <c r="B2" s="6" t="s">
        <v>373</v>
      </c>
      <c r="C2" s="6" t="n">
        <v>460676</v>
      </c>
      <c r="D2" s="6" t="s">
        <v>374</v>
      </c>
      <c r="E2" s="6" t="s">
        <v>375</v>
      </c>
      <c r="F2" s="7" t="n">
        <v>46287</v>
      </c>
      <c r="G2" s="6"/>
    </row>
    <row r="3" customFormat="false" ht="15" hidden="false" customHeight="true" outlineLevel="0" collapsed="false">
      <c r="A3" s="6" t="s">
        <v>72</v>
      </c>
      <c r="B3" s="6" t="s">
        <v>376</v>
      </c>
      <c r="C3" s="6" t="n">
        <v>365</v>
      </c>
      <c r="D3" s="6" t="s">
        <v>377</v>
      </c>
      <c r="E3" s="6" t="s">
        <v>378</v>
      </c>
      <c r="F3" s="7" t="n">
        <v>46287</v>
      </c>
      <c r="G3" s="6"/>
    </row>
    <row r="4" customFormat="false" ht="15" hidden="false" customHeight="true" outlineLevel="0" collapsed="false">
      <c r="A4" s="6" t="s">
        <v>76</v>
      </c>
      <c r="B4" s="6" t="s">
        <v>379</v>
      </c>
      <c r="C4" s="6" t="n">
        <v>415</v>
      </c>
      <c r="D4" s="6" t="s">
        <v>380</v>
      </c>
      <c r="E4" s="6" t="s">
        <v>381</v>
      </c>
      <c r="F4" s="7" t="n">
        <v>46287</v>
      </c>
      <c r="G4" s="6"/>
    </row>
    <row r="5" customFormat="false" ht="15" hidden="false" customHeight="true" outlineLevel="0" collapsed="false">
      <c r="A5" s="6" t="s">
        <v>80</v>
      </c>
      <c r="B5" s="6" t="s">
        <v>382</v>
      </c>
      <c r="C5" s="6" t="n">
        <v>420</v>
      </c>
      <c r="D5" s="6" t="s">
        <v>383</v>
      </c>
      <c r="E5" s="6" t="s">
        <v>384</v>
      </c>
      <c r="F5" s="7" t="n">
        <v>46287</v>
      </c>
      <c r="G5" s="6"/>
    </row>
    <row r="6" customFormat="false" ht="15" hidden="false" customHeight="true" outlineLevel="0" collapsed="false">
      <c r="A6" s="6" t="s">
        <v>385</v>
      </c>
      <c r="B6" s="6" t="s">
        <v>373</v>
      </c>
      <c r="C6" s="6" t="n">
        <v>192</v>
      </c>
      <c r="D6" s="6" t="s">
        <v>386</v>
      </c>
      <c r="E6" s="6" t="s">
        <v>387</v>
      </c>
      <c r="F6" s="7" t="n">
        <v>46288</v>
      </c>
      <c r="G6" s="6"/>
    </row>
    <row r="7" customFormat="false" ht="23.25" hidden="false" customHeight="true" outlineLevel="0" collapsed="false">
      <c r="A7" s="6" t="s">
        <v>388</v>
      </c>
      <c r="B7" s="6" t="s">
        <v>389</v>
      </c>
      <c r="C7" s="6" t="n">
        <v>22802</v>
      </c>
      <c r="D7" s="6" t="s">
        <v>390</v>
      </c>
      <c r="E7" s="6" t="s">
        <v>391</v>
      </c>
      <c r="F7" s="7" t="n">
        <v>46288</v>
      </c>
      <c r="G7" s="6"/>
    </row>
    <row r="8" customFormat="false" ht="15" hidden="false" customHeight="true" outlineLevel="0" collapsed="false">
      <c r="A8" s="6" t="s">
        <v>392</v>
      </c>
      <c r="B8" s="6" t="s">
        <v>393</v>
      </c>
      <c r="C8" s="6" t="n">
        <v>9524</v>
      </c>
      <c r="D8" s="6" t="s">
        <v>394</v>
      </c>
      <c r="E8" s="6" t="s">
        <v>395</v>
      </c>
      <c r="F8" s="7" t="n">
        <v>46288</v>
      </c>
      <c r="G8" s="6"/>
    </row>
    <row r="9" customFormat="false" ht="15" hidden="false" customHeight="true" outlineLevel="0" collapsed="false">
      <c r="A9" s="6" t="s">
        <v>98</v>
      </c>
      <c r="B9" s="6" t="s">
        <v>396</v>
      </c>
      <c r="C9" s="6" t="n">
        <v>13590</v>
      </c>
      <c r="D9" s="6" t="s">
        <v>397</v>
      </c>
      <c r="E9" s="6" t="s">
        <v>398</v>
      </c>
      <c r="F9" s="7" t="n">
        <v>46288</v>
      </c>
      <c r="G9" s="6"/>
    </row>
    <row r="10" customFormat="false" ht="15" hidden="false" customHeight="true" outlineLevel="0" collapsed="false">
      <c r="A10" s="9" t="s">
        <v>348</v>
      </c>
      <c r="B10" s="9" t="s">
        <v>373</v>
      </c>
      <c r="C10" s="9" t="n">
        <v>468785</v>
      </c>
      <c r="D10" s="9" t="s">
        <v>399</v>
      </c>
      <c r="E10" s="9" t="s">
        <v>400</v>
      </c>
      <c r="F10" s="10" t="n">
        <v>46289</v>
      </c>
      <c r="G10" s="9"/>
    </row>
    <row r="11" customFormat="false" ht="15" hidden="false" customHeight="true" outlineLevel="0" collapsed="false">
      <c r="A11" s="9" t="s">
        <v>340</v>
      </c>
      <c r="B11" s="9" t="s">
        <v>389</v>
      </c>
      <c r="C11" s="9" t="n">
        <v>48765</v>
      </c>
      <c r="D11" s="9" t="s">
        <v>401</v>
      </c>
      <c r="E11" s="9" t="s">
        <v>402</v>
      </c>
      <c r="F11" s="10" t="n">
        <v>46289</v>
      </c>
      <c r="G11" s="9"/>
    </row>
    <row r="12" customFormat="false" ht="15" hidden="false" customHeight="true" outlineLevel="0" collapsed="false">
      <c r="A12" s="9" t="s">
        <v>119</v>
      </c>
      <c r="B12" s="9" t="s">
        <v>396</v>
      </c>
      <c r="C12" s="9" t="n">
        <v>9337</v>
      </c>
      <c r="D12" s="9" t="s">
        <v>403</v>
      </c>
      <c r="E12" s="9" t="s">
        <v>404</v>
      </c>
      <c r="F12" s="10" t="n">
        <v>46289</v>
      </c>
      <c r="G12" s="9"/>
    </row>
    <row r="13" customFormat="false" ht="15" hidden="false" customHeight="true" outlineLevel="0" collapsed="false">
      <c r="A13" s="9" t="s">
        <v>124</v>
      </c>
      <c r="B13" s="9" t="s">
        <v>393</v>
      </c>
      <c r="C13" s="9" t="n">
        <v>2868</v>
      </c>
      <c r="D13" s="9" t="s">
        <v>405</v>
      </c>
      <c r="E13" s="9" t="s">
        <v>406</v>
      </c>
      <c r="F13" s="10" t="n">
        <v>46289</v>
      </c>
      <c r="G13" s="9"/>
    </row>
    <row r="14" customFormat="false" ht="23.25" hidden="false" customHeight="true" outlineLevel="0" collapsed="false">
      <c r="A14" s="9" t="s">
        <v>407</v>
      </c>
      <c r="B14" s="9" t="s">
        <v>408</v>
      </c>
      <c r="C14" s="9" t="n">
        <v>141791</v>
      </c>
      <c r="D14" s="9" t="s">
        <v>409</v>
      </c>
      <c r="E14" s="9" t="s">
        <v>410</v>
      </c>
      <c r="F14" s="10" t="n">
        <v>46289</v>
      </c>
      <c r="G14" s="9"/>
    </row>
    <row r="15" customFormat="false" ht="15" hidden="false" customHeight="true" outlineLevel="0" collapsed="false">
      <c r="A15" s="9" t="s">
        <v>140</v>
      </c>
      <c r="B15" s="9" t="s">
        <v>393</v>
      </c>
      <c r="C15" s="9" t="n">
        <v>1416</v>
      </c>
      <c r="D15" s="9" t="s">
        <v>411</v>
      </c>
      <c r="E15" s="9" t="s">
        <v>412</v>
      </c>
      <c r="F15" s="10" t="n">
        <v>46289</v>
      </c>
      <c r="G15" s="9"/>
    </row>
    <row r="16" customFormat="false" ht="15" hidden="false" customHeight="true" outlineLevel="0" collapsed="false">
      <c r="A16" s="9" t="s">
        <v>144</v>
      </c>
      <c r="B16" s="9" t="s">
        <v>396</v>
      </c>
      <c r="C16" s="9" t="n">
        <v>2595</v>
      </c>
      <c r="D16" s="9" t="s">
        <v>413</v>
      </c>
      <c r="E16" s="9" t="s">
        <v>414</v>
      </c>
      <c r="F16" s="10" t="n">
        <v>46289</v>
      </c>
      <c r="G16" s="9"/>
    </row>
    <row r="17" customFormat="false" ht="23.25" hidden="false" customHeight="true" outlineLevel="0" collapsed="false">
      <c r="A17" s="9" t="s">
        <v>415</v>
      </c>
      <c r="B17" s="9" t="s">
        <v>393</v>
      </c>
      <c r="C17" s="9" t="n">
        <v>18407</v>
      </c>
      <c r="D17" s="9" t="s">
        <v>416</v>
      </c>
      <c r="E17" s="9" t="s">
        <v>417</v>
      </c>
      <c r="F17" s="10" t="n">
        <v>46290</v>
      </c>
      <c r="G17" s="9"/>
    </row>
    <row r="18" customFormat="false" ht="15" hidden="false" customHeight="true" outlineLevel="0" collapsed="false">
      <c r="A18" s="9" t="s">
        <v>418</v>
      </c>
      <c r="B18" s="9" t="s">
        <v>389</v>
      </c>
      <c r="C18" s="9" t="n">
        <v>51730</v>
      </c>
      <c r="D18" s="9" t="s">
        <v>419</v>
      </c>
      <c r="E18" s="9" t="s">
        <v>420</v>
      </c>
      <c r="F18" s="10" t="n">
        <v>46290</v>
      </c>
      <c r="G18" s="9"/>
    </row>
    <row r="19" customFormat="false" ht="23.25" hidden="false" customHeight="true" outlineLevel="0" collapsed="false">
      <c r="A19" s="9" t="s">
        <v>421</v>
      </c>
      <c r="B19" s="9" t="s">
        <v>408</v>
      </c>
      <c r="C19" s="9" t="n">
        <v>150866</v>
      </c>
      <c r="D19" s="9" t="s">
        <v>422</v>
      </c>
      <c r="E19" s="9" t="s">
        <v>423</v>
      </c>
      <c r="F19" s="10" t="n">
        <v>46290</v>
      </c>
      <c r="G19" s="9"/>
    </row>
    <row r="20" customFormat="false" ht="23.25" hidden="false" customHeight="true" outlineLevel="0" collapsed="false">
      <c r="A20" s="9" t="s">
        <v>424</v>
      </c>
      <c r="B20" s="9" t="s">
        <v>408</v>
      </c>
      <c r="C20" s="9" t="n">
        <v>227085</v>
      </c>
      <c r="D20" s="9" t="s">
        <v>425</v>
      </c>
      <c r="E20" s="9" t="s">
        <v>426</v>
      </c>
      <c r="F20" s="10" t="n">
        <v>46290</v>
      </c>
      <c r="G20" s="9"/>
    </row>
    <row r="21" customFormat="false" ht="15" hidden="false" customHeight="true" outlineLevel="0" collapsed="false">
      <c r="A21" s="9" t="s">
        <v>427</v>
      </c>
      <c r="B21" s="9" t="s">
        <v>408</v>
      </c>
      <c r="C21" s="9" t="n">
        <v>70321</v>
      </c>
      <c r="D21" s="9" t="s">
        <v>428</v>
      </c>
      <c r="E21" s="9" t="s">
        <v>429</v>
      </c>
      <c r="F21" s="10" t="n">
        <v>46290</v>
      </c>
      <c r="G21" s="9"/>
    </row>
    <row r="22" customFormat="false" ht="23.25" hidden="false" customHeight="true" outlineLevel="0" collapsed="false">
      <c r="A22" s="9" t="s">
        <v>430</v>
      </c>
      <c r="B22" s="9" t="s">
        <v>408</v>
      </c>
      <c r="C22" s="9" t="n">
        <v>440073</v>
      </c>
      <c r="D22" s="9" t="s">
        <v>431</v>
      </c>
      <c r="E22" s="9" t="s">
        <v>432</v>
      </c>
      <c r="F22" s="10" t="n">
        <v>46290</v>
      </c>
      <c r="G22" s="9"/>
    </row>
    <row r="23" customFormat="false" ht="23.25" hidden="false" customHeight="true" outlineLevel="0" collapsed="false">
      <c r="A23" s="9" t="s">
        <v>433</v>
      </c>
      <c r="B23" s="9" t="s">
        <v>408</v>
      </c>
      <c r="C23" s="9" t="n">
        <v>263530</v>
      </c>
      <c r="D23" s="9" t="s">
        <v>434</v>
      </c>
      <c r="E23" s="9" t="s">
        <v>435</v>
      </c>
      <c r="F23" s="10" t="n">
        <v>46290</v>
      </c>
      <c r="G23" s="9"/>
    </row>
    <row r="24" customFormat="false" ht="23.25" hidden="false" customHeight="true" outlineLevel="0" collapsed="false">
      <c r="A24" s="9" t="s">
        <v>436</v>
      </c>
      <c r="B24" s="9" t="s">
        <v>408</v>
      </c>
      <c r="C24" s="9" t="n">
        <v>63054</v>
      </c>
      <c r="D24" s="9" t="s">
        <v>437</v>
      </c>
      <c r="E24" s="9" t="s">
        <v>438</v>
      </c>
      <c r="F24" s="10" t="n">
        <v>46290</v>
      </c>
      <c r="G24" s="9"/>
    </row>
    <row r="25" customFormat="false" ht="23.25" hidden="false" customHeight="true" outlineLevel="0" collapsed="false">
      <c r="A25" s="9" t="s">
        <v>439</v>
      </c>
      <c r="B25" s="9" t="s">
        <v>408</v>
      </c>
      <c r="C25" s="9" t="n">
        <v>373125</v>
      </c>
      <c r="D25" s="9" t="s">
        <v>440</v>
      </c>
      <c r="E25" s="9" t="s">
        <v>441</v>
      </c>
      <c r="F25" s="10" t="n">
        <v>46290</v>
      </c>
      <c r="G25" s="9"/>
    </row>
    <row r="26" customFormat="false" ht="23.25" hidden="false" customHeight="true" outlineLevel="0" collapsed="false">
      <c r="A26" s="9" t="s">
        <v>442</v>
      </c>
      <c r="B26" s="9" t="s">
        <v>408</v>
      </c>
      <c r="C26" s="9" t="n">
        <v>202395</v>
      </c>
      <c r="D26" s="9" t="s">
        <v>443</v>
      </c>
      <c r="E26" s="9" t="s">
        <v>444</v>
      </c>
      <c r="F26" s="10" t="n">
        <v>46290</v>
      </c>
      <c r="G26" s="9"/>
    </row>
    <row r="27" customFormat="false" ht="23.25" hidden="false" customHeight="true" outlineLevel="0" collapsed="false">
      <c r="A27" s="9" t="s">
        <v>445</v>
      </c>
      <c r="B27" s="9" t="s">
        <v>408</v>
      </c>
      <c r="C27" s="9" t="n">
        <v>17992</v>
      </c>
      <c r="D27" s="9" t="s">
        <v>446</v>
      </c>
      <c r="E27" s="9" t="s">
        <v>447</v>
      </c>
      <c r="F27" s="10" t="n">
        <v>46290</v>
      </c>
      <c r="G27" s="9"/>
    </row>
    <row r="28" customFormat="false" ht="23.25" hidden="false" customHeight="true" outlineLevel="0" collapsed="false">
      <c r="A28" s="9" t="s">
        <v>448</v>
      </c>
      <c r="B28" s="9" t="s">
        <v>408</v>
      </c>
      <c r="C28" s="9" t="n">
        <v>108430</v>
      </c>
      <c r="D28" s="9" t="s">
        <v>449</v>
      </c>
      <c r="E28" s="9" t="s">
        <v>450</v>
      </c>
      <c r="F28" s="10" t="n">
        <v>46290</v>
      </c>
      <c r="G28" s="9"/>
    </row>
    <row r="29" customFormat="false" ht="15" hidden="false" customHeight="true" outlineLevel="0" collapsed="false">
      <c r="A29" s="9" t="s">
        <v>177</v>
      </c>
      <c r="B29" s="9" t="s">
        <v>396</v>
      </c>
      <c r="C29" s="9" t="n">
        <v>2667</v>
      </c>
      <c r="D29" s="9" t="s">
        <v>451</v>
      </c>
      <c r="E29" s="9" t="s">
        <v>452</v>
      </c>
      <c r="F29" s="10" t="n">
        <v>46290</v>
      </c>
      <c r="G29" s="9"/>
    </row>
    <row r="30" customFormat="false" ht="23.25" hidden="false" customHeight="true" outlineLevel="0" collapsed="false">
      <c r="A30" s="9" t="s">
        <v>354</v>
      </c>
      <c r="B30" s="9" t="s">
        <v>393</v>
      </c>
      <c r="C30" s="9" t="n">
        <v>19801</v>
      </c>
      <c r="D30" s="9" t="s">
        <v>453</v>
      </c>
      <c r="E30" s="9" t="s">
        <v>454</v>
      </c>
      <c r="F30" s="10" t="n">
        <v>46290</v>
      </c>
      <c r="G30" s="9"/>
    </row>
    <row r="31" customFormat="false" ht="15" hidden="false" customHeight="true" outlineLevel="0" collapsed="false">
      <c r="A31" s="9" t="s">
        <v>455</v>
      </c>
      <c r="B31" s="9" t="s">
        <v>389</v>
      </c>
      <c r="C31" s="9" t="n">
        <v>70580</v>
      </c>
      <c r="D31" s="9" t="s">
        <v>456</v>
      </c>
      <c r="E31" s="9" t="s">
        <v>457</v>
      </c>
      <c r="F31" s="10" t="n">
        <v>46290</v>
      </c>
      <c r="G31" s="9"/>
    </row>
    <row r="32" customFormat="false" ht="15" hidden="false" customHeight="true" outlineLevel="0" collapsed="false">
      <c r="A32" s="9" t="s">
        <v>194</v>
      </c>
      <c r="B32" s="9" t="s">
        <v>396</v>
      </c>
      <c r="C32" s="9" t="n">
        <v>13093</v>
      </c>
      <c r="D32" s="9" t="s">
        <v>458</v>
      </c>
      <c r="E32" s="9" t="s">
        <v>459</v>
      </c>
      <c r="F32" s="10" t="n">
        <v>46290</v>
      </c>
      <c r="G32" s="9"/>
    </row>
    <row r="33" customFormat="false" ht="15" hidden="false" customHeight="true" outlineLevel="0" collapsed="false">
      <c r="A33" s="9" t="s">
        <v>198</v>
      </c>
      <c r="B33" s="9" t="s">
        <v>396</v>
      </c>
      <c r="C33" s="9" t="n">
        <v>2580</v>
      </c>
      <c r="D33" s="9" t="s">
        <v>460</v>
      </c>
      <c r="E33" s="9" t="s">
        <v>461</v>
      </c>
      <c r="F33" s="10" t="n">
        <v>46290</v>
      </c>
      <c r="G33" s="9"/>
    </row>
    <row r="34" customFormat="false" ht="23.25" hidden="false" customHeight="true" outlineLevel="0" collapsed="false">
      <c r="A34" s="9" t="s">
        <v>462</v>
      </c>
      <c r="B34" s="9" t="s">
        <v>373</v>
      </c>
      <c r="C34" s="9" t="n">
        <v>400646</v>
      </c>
      <c r="D34" s="9" t="s">
        <v>463</v>
      </c>
      <c r="E34" s="9" t="s">
        <v>464</v>
      </c>
      <c r="F34" s="10" t="n">
        <v>46291</v>
      </c>
      <c r="G34" s="9"/>
    </row>
    <row r="35" customFormat="false" ht="23.25" hidden="false" customHeight="true" outlineLevel="0" collapsed="false">
      <c r="A35" s="9" t="s">
        <v>465</v>
      </c>
      <c r="B35" s="9" t="s">
        <v>466</v>
      </c>
      <c r="C35" s="9" t="n">
        <v>13150</v>
      </c>
      <c r="D35" s="9" t="s">
        <v>467</v>
      </c>
      <c r="E35" s="9" t="s">
        <v>468</v>
      </c>
      <c r="F35" s="10" t="n">
        <v>46291</v>
      </c>
      <c r="G35" s="9"/>
    </row>
    <row r="36" customFormat="false" ht="23.25" hidden="false" customHeight="true" outlineLevel="0" collapsed="false">
      <c r="A36" s="9" t="s">
        <v>469</v>
      </c>
      <c r="B36" s="9" t="s">
        <v>389</v>
      </c>
      <c r="C36" s="9" t="n">
        <v>11135</v>
      </c>
      <c r="D36" s="9" t="s">
        <v>470</v>
      </c>
      <c r="E36" s="9" t="s">
        <v>471</v>
      </c>
      <c r="F36" s="10" t="n">
        <v>46291</v>
      </c>
      <c r="G36" s="9"/>
    </row>
    <row r="37" customFormat="false" ht="23.25" hidden="false" customHeight="true" outlineLevel="0" collapsed="false">
      <c r="A37" s="9" t="s">
        <v>472</v>
      </c>
      <c r="B37" s="9" t="s">
        <v>373</v>
      </c>
      <c r="C37" s="9" t="n">
        <v>1640514</v>
      </c>
      <c r="D37" s="9" t="s">
        <v>473</v>
      </c>
      <c r="E37" s="9" t="s">
        <v>474</v>
      </c>
      <c r="F37" s="10" t="n">
        <v>46291</v>
      </c>
      <c r="G37" s="9"/>
    </row>
    <row r="38" customFormat="false" ht="15" hidden="false" customHeight="true" outlineLevel="0" collapsed="false">
      <c r="A38" s="9" t="s">
        <v>475</v>
      </c>
      <c r="B38" s="9" t="s">
        <v>373</v>
      </c>
      <c r="C38" s="9" t="n">
        <v>354138</v>
      </c>
      <c r="D38" s="9" t="s">
        <v>476</v>
      </c>
      <c r="E38" s="9" t="s">
        <v>477</v>
      </c>
      <c r="F38" s="10" t="n">
        <v>46291</v>
      </c>
      <c r="G38" s="9"/>
    </row>
    <row r="39" customFormat="false" ht="23.25" hidden="false" customHeight="true" outlineLevel="0" collapsed="false">
      <c r="A39" s="9" t="s">
        <v>478</v>
      </c>
      <c r="B39" s="9" t="s">
        <v>373</v>
      </c>
      <c r="C39" s="9" t="n">
        <v>354683</v>
      </c>
      <c r="D39" s="9" t="s">
        <v>479</v>
      </c>
      <c r="E39" s="9" t="s">
        <v>480</v>
      </c>
      <c r="F39" s="10" t="n">
        <v>46291</v>
      </c>
      <c r="G39" s="9"/>
    </row>
    <row r="40" customFormat="false" ht="23.25" hidden="false" customHeight="true" outlineLevel="0" collapsed="false">
      <c r="A40" s="9" t="s">
        <v>215</v>
      </c>
      <c r="B40" s="9" t="s">
        <v>396</v>
      </c>
      <c r="C40" s="9" t="n">
        <v>23697</v>
      </c>
      <c r="D40" s="9" t="s">
        <v>481</v>
      </c>
      <c r="E40" s="9" t="s">
        <v>482</v>
      </c>
      <c r="F40" s="10" t="n">
        <v>46291</v>
      </c>
      <c r="G40" s="9"/>
    </row>
    <row r="41" customFormat="false" ht="15" hidden="false" customHeight="true" outlineLevel="0" collapsed="false">
      <c r="A41" s="9" t="s">
        <v>220</v>
      </c>
      <c r="B41" s="9" t="s">
        <v>396</v>
      </c>
      <c r="C41" s="9" t="n">
        <v>7023</v>
      </c>
      <c r="D41" s="9" t="s">
        <v>483</v>
      </c>
      <c r="E41" s="9" t="s">
        <v>484</v>
      </c>
      <c r="F41" s="10" t="n">
        <v>46291</v>
      </c>
      <c r="G41" s="9"/>
    </row>
    <row r="42" customFormat="false" ht="23.25" hidden="false" customHeight="true" outlineLevel="0" collapsed="false">
      <c r="A42" s="9" t="s">
        <v>224</v>
      </c>
      <c r="B42" s="9" t="s">
        <v>396</v>
      </c>
      <c r="C42" s="9" t="n">
        <v>21297</v>
      </c>
      <c r="D42" s="9" t="s">
        <v>485</v>
      </c>
      <c r="E42" s="9" t="s">
        <v>486</v>
      </c>
      <c r="F42" s="10" t="n">
        <v>46291</v>
      </c>
      <c r="G42" s="9"/>
    </row>
    <row r="43" customFormat="false" ht="23.25" hidden="false" customHeight="true" outlineLevel="0" collapsed="false">
      <c r="A43" s="9" t="s">
        <v>229</v>
      </c>
      <c r="B43" s="9" t="s">
        <v>396</v>
      </c>
      <c r="C43" s="9" t="n">
        <v>21297</v>
      </c>
      <c r="D43" s="9" t="s">
        <v>485</v>
      </c>
      <c r="E43" s="9" t="s">
        <v>487</v>
      </c>
      <c r="F43" s="10" t="n">
        <v>46291</v>
      </c>
      <c r="G43" s="9"/>
    </row>
    <row r="44" customFormat="false" ht="23.25" hidden="false" customHeight="true" outlineLevel="0" collapsed="false">
      <c r="A44" s="9" t="s">
        <v>232</v>
      </c>
      <c r="B44" s="9" t="s">
        <v>396</v>
      </c>
      <c r="C44" s="9" t="n">
        <v>7023</v>
      </c>
      <c r="D44" s="9" t="s">
        <v>483</v>
      </c>
      <c r="E44" s="9" t="s">
        <v>488</v>
      </c>
      <c r="F44" s="10" t="n">
        <v>46291</v>
      </c>
      <c r="G44" s="9"/>
    </row>
    <row r="45" customFormat="false" ht="15" hidden="false" customHeight="true" outlineLevel="0" collapsed="false">
      <c r="A45" s="9" t="s">
        <v>235</v>
      </c>
      <c r="B45" s="9" t="s">
        <v>396</v>
      </c>
      <c r="C45" s="9" t="n">
        <v>13590</v>
      </c>
      <c r="D45" s="9" t="s">
        <v>397</v>
      </c>
      <c r="E45" s="9" t="s">
        <v>489</v>
      </c>
      <c r="F45" s="10" t="n">
        <v>46291</v>
      </c>
      <c r="G45" s="9"/>
    </row>
    <row r="46" customFormat="false" ht="15" hidden="false" customHeight="true" outlineLevel="0" collapsed="false">
      <c r="A46" s="9" t="s">
        <v>238</v>
      </c>
      <c r="B46" s="9" t="s">
        <v>396</v>
      </c>
      <c r="C46" s="9" t="n">
        <v>9337</v>
      </c>
      <c r="D46" s="9" t="s">
        <v>403</v>
      </c>
      <c r="E46" s="9" t="s">
        <v>490</v>
      </c>
      <c r="F46" s="10" t="n">
        <v>46291</v>
      </c>
      <c r="G46" s="9"/>
    </row>
    <row r="47" customFormat="false" ht="23.25" hidden="false" customHeight="true" outlineLevel="0" collapsed="false">
      <c r="A47" s="9" t="s">
        <v>241</v>
      </c>
      <c r="B47" s="9" t="s">
        <v>396</v>
      </c>
      <c r="C47" s="9" t="n">
        <v>2595</v>
      </c>
      <c r="D47" s="9" t="s">
        <v>413</v>
      </c>
      <c r="E47" s="9" t="s">
        <v>491</v>
      </c>
      <c r="F47" s="10" t="n">
        <v>46291</v>
      </c>
      <c r="G47" s="9"/>
    </row>
    <row r="48" customFormat="false" ht="23.25" hidden="false" customHeight="true" outlineLevel="0" collapsed="false">
      <c r="A48" s="9" t="s">
        <v>243</v>
      </c>
      <c r="B48" s="9" t="s">
        <v>396</v>
      </c>
      <c r="C48" s="9" t="n">
        <v>2580</v>
      </c>
      <c r="D48" s="9" t="s">
        <v>460</v>
      </c>
      <c r="E48" s="9" t="s">
        <v>492</v>
      </c>
      <c r="F48" s="10" t="n">
        <v>46291</v>
      </c>
      <c r="G48" s="9"/>
    </row>
    <row r="49" customFormat="false" ht="23.25" hidden="false" customHeight="true" outlineLevel="0" collapsed="false">
      <c r="A49" s="9" t="s">
        <v>245</v>
      </c>
      <c r="B49" s="9" t="s">
        <v>396</v>
      </c>
      <c r="C49" s="9" t="n">
        <v>13093</v>
      </c>
      <c r="D49" s="9" t="s">
        <v>458</v>
      </c>
      <c r="E49" s="9" t="s">
        <v>493</v>
      </c>
      <c r="F49" s="10" t="n">
        <v>46291</v>
      </c>
      <c r="G49" s="9"/>
    </row>
    <row r="50" customFormat="false" ht="23.25" hidden="false" customHeight="true" outlineLevel="0" collapsed="false">
      <c r="A50" s="9" t="s">
        <v>247</v>
      </c>
      <c r="B50" s="9" t="s">
        <v>396</v>
      </c>
      <c r="C50" s="9" t="n">
        <v>2667</v>
      </c>
      <c r="D50" s="9" t="s">
        <v>451</v>
      </c>
      <c r="E50" s="9" t="s">
        <v>494</v>
      </c>
      <c r="F50" s="10" t="n">
        <v>46291</v>
      </c>
      <c r="G50" s="9"/>
    </row>
    <row r="51" customFormat="false" ht="23.25" hidden="false" customHeight="true" outlineLevel="0" collapsed="false">
      <c r="A51" s="9" t="s">
        <v>250</v>
      </c>
      <c r="B51" s="9" t="s">
        <v>396</v>
      </c>
      <c r="C51" s="9" t="n">
        <v>3400</v>
      </c>
      <c r="D51" s="9" t="s">
        <v>495</v>
      </c>
      <c r="E51" s="9" t="s">
        <v>496</v>
      </c>
      <c r="F51" s="10" t="n">
        <v>46291</v>
      </c>
      <c r="G51" s="9"/>
    </row>
    <row r="52" customFormat="false" ht="23.25" hidden="false" customHeight="true" outlineLevel="0" collapsed="false">
      <c r="A52" s="9" t="s">
        <v>252</v>
      </c>
      <c r="B52" s="9" t="s">
        <v>396</v>
      </c>
      <c r="C52" s="9" t="n">
        <v>23697</v>
      </c>
      <c r="D52" s="9" t="s">
        <v>481</v>
      </c>
      <c r="E52" s="9" t="s">
        <v>497</v>
      </c>
      <c r="F52" s="10" t="n">
        <v>46291</v>
      </c>
      <c r="G52" s="9"/>
    </row>
    <row r="53" customFormat="false" ht="15" hidden="false" customHeight="true" outlineLevel="0" collapsed="false">
      <c r="A53" s="9" t="s">
        <v>260</v>
      </c>
      <c r="B53" s="9" t="s">
        <v>393</v>
      </c>
      <c r="C53" s="9" t="n">
        <v>4533</v>
      </c>
      <c r="D53" s="9" t="s">
        <v>498</v>
      </c>
      <c r="E53" s="9" t="s">
        <v>499</v>
      </c>
      <c r="F53" s="10" t="n">
        <v>46291</v>
      </c>
      <c r="G53" s="9"/>
    </row>
    <row r="54" customFormat="false" ht="15" hidden="false" customHeight="true" outlineLevel="0" collapsed="false">
      <c r="A54" s="9" t="s">
        <v>265</v>
      </c>
      <c r="B54" s="9" t="s">
        <v>396</v>
      </c>
      <c r="C54" s="9" t="n">
        <v>2312</v>
      </c>
      <c r="D54" s="9" t="s">
        <v>500</v>
      </c>
      <c r="E54" s="9" t="s">
        <v>501</v>
      </c>
      <c r="F54" s="10" t="n">
        <v>46291</v>
      </c>
      <c r="G54" s="9"/>
    </row>
    <row r="55" customFormat="false" ht="15" hidden="false" customHeight="true" outlineLevel="0" collapsed="false">
      <c r="A55" s="9" t="s">
        <v>502</v>
      </c>
      <c r="B55" s="9" t="s">
        <v>389</v>
      </c>
      <c r="C55" s="9" t="n">
        <v>249</v>
      </c>
      <c r="D55" s="9" t="s">
        <v>503</v>
      </c>
      <c r="E55" s="9" t="s">
        <v>504</v>
      </c>
      <c r="F55" s="10" t="n">
        <v>46291</v>
      </c>
      <c r="G55" s="9"/>
    </row>
    <row r="56" customFormat="false" ht="15" hidden="false" customHeight="true" outlineLevel="0" collapsed="false">
      <c r="A56" s="9" t="s">
        <v>269</v>
      </c>
      <c r="B56" s="9" t="s">
        <v>396</v>
      </c>
      <c r="C56" s="9" t="n">
        <v>1978</v>
      </c>
      <c r="D56" s="9" t="s">
        <v>505</v>
      </c>
      <c r="E56" s="9" t="s">
        <v>506</v>
      </c>
      <c r="F56" s="10" t="n">
        <v>46291</v>
      </c>
      <c r="G56" s="9"/>
    </row>
    <row r="57" customFormat="false" ht="23.25" hidden="false" customHeight="true" outlineLevel="0" collapsed="false">
      <c r="A57" s="9" t="s">
        <v>507</v>
      </c>
      <c r="B57" s="9" t="s">
        <v>373</v>
      </c>
      <c r="C57" s="9" t="n">
        <v>7621</v>
      </c>
      <c r="D57" s="9" t="s">
        <v>508</v>
      </c>
      <c r="E57" s="9" t="s">
        <v>509</v>
      </c>
      <c r="F57" s="10" t="n">
        <v>46291</v>
      </c>
      <c r="G57" s="9"/>
    </row>
    <row r="58" customFormat="false" ht="15" hidden="false" customHeight="true" outlineLevel="0" collapsed="false">
      <c r="A58" s="9" t="s">
        <v>510</v>
      </c>
      <c r="B58" s="9" t="s">
        <v>389</v>
      </c>
      <c r="C58" s="9" t="n">
        <v>91</v>
      </c>
      <c r="D58" s="9" t="s">
        <v>511</v>
      </c>
      <c r="E58" s="9" t="s">
        <v>512</v>
      </c>
      <c r="F58" s="10" t="n">
        <v>46291</v>
      </c>
      <c r="G58" s="9"/>
    </row>
    <row r="59" customFormat="false" ht="15" hidden="false" customHeight="true" outlineLevel="0" collapsed="false">
      <c r="A59" s="9" t="s">
        <v>273</v>
      </c>
      <c r="B59" s="9" t="s">
        <v>396</v>
      </c>
      <c r="C59" s="9" t="n">
        <v>2196</v>
      </c>
      <c r="D59" s="9" t="s">
        <v>513</v>
      </c>
      <c r="E59" s="9" t="s">
        <v>514</v>
      </c>
      <c r="F59" s="10" t="n">
        <v>46291</v>
      </c>
      <c r="G59" s="9"/>
    </row>
    <row r="60" customFormat="false" ht="23.25" hidden="false" customHeight="true" outlineLevel="0" collapsed="false">
      <c r="A60" s="9" t="s">
        <v>515</v>
      </c>
      <c r="B60" s="9" t="s">
        <v>373</v>
      </c>
      <c r="C60" s="9" t="n">
        <v>7769</v>
      </c>
      <c r="D60" s="9" t="s">
        <v>516</v>
      </c>
      <c r="E60" s="9" t="s">
        <v>517</v>
      </c>
      <c r="F60" s="10" t="n">
        <v>46291</v>
      </c>
      <c r="G60" s="9"/>
    </row>
    <row r="61" customFormat="false" ht="15" hidden="false" customHeight="true" outlineLevel="0" collapsed="false">
      <c r="A61" s="9" t="s">
        <v>518</v>
      </c>
      <c r="B61" s="9" t="s">
        <v>389</v>
      </c>
      <c r="C61" s="9" t="n">
        <v>108</v>
      </c>
      <c r="D61" s="9" t="s">
        <v>519</v>
      </c>
      <c r="E61" s="9" t="s">
        <v>520</v>
      </c>
      <c r="F61" s="10" t="n">
        <v>46291</v>
      </c>
      <c r="G61" s="9"/>
    </row>
    <row r="62" customFormat="false" ht="15" hidden="false" customHeight="true" outlineLevel="0" collapsed="false">
      <c r="A62" s="9" t="s">
        <v>282</v>
      </c>
      <c r="B62" s="9" t="s">
        <v>396</v>
      </c>
      <c r="C62" s="9" t="n">
        <v>2576</v>
      </c>
      <c r="D62" s="9" t="s">
        <v>521</v>
      </c>
      <c r="E62" s="9" t="s">
        <v>522</v>
      </c>
      <c r="F62" s="10" t="n">
        <v>46291</v>
      </c>
      <c r="G62" s="9"/>
    </row>
    <row r="63" customFormat="false" ht="15" hidden="false" customHeight="true" outlineLevel="0" collapsed="false">
      <c r="A63" s="9" t="s">
        <v>523</v>
      </c>
      <c r="B63" s="9" t="s">
        <v>389</v>
      </c>
      <c r="C63" s="9" t="n">
        <v>363</v>
      </c>
      <c r="D63" s="9" t="s">
        <v>524</v>
      </c>
      <c r="E63" s="9" t="s">
        <v>525</v>
      </c>
      <c r="F63" s="10" t="n">
        <v>46291</v>
      </c>
      <c r="G63" s="9"/>
    </row>
    <row r="64" customFormat="false" ht="15" hidden="false" customHeight="true" outlineLevel="0" collapsed="false">
      <c r="A64" s="9" t="s">
        <v>296</v>
      </c>
      <c r="B64" s="9" t="s">
        <v>396</v>
      </c>
      <c r="C64" s="9" t="n">
        <v>3878</v>
      </c>
      <c r="D64" s="9" t="s">
        <v>526</v>
      </c>
      <c r="E64" s="9" t="s">
        <v>527</v>
      </c>
      <c r="F64" s="10" t="n">
        <v>46291</v>
      </c>
      <c r="G64" s="9"/>
    </row>
    <row r="65" customFormat="false" ht="15" hidden="false" customHeight="true" outlineLevel="0" collapsed="false">
      <c r="A65" s="9" t="s">
        <v>528</v>
      </c>
      <c r="B65" s="9" t="s">
        <v>389</v>
      </c>
      <c r="C65" s="9" t="n">
        <v>226</v>
      </c>
      <c r="D65" s="9" t="s">
        <v>529</v>
      </c>
      <c r="E65" s="9" t="s">
        <v>530</v>
      </c>
      <c r="F65" s="10" t="n">
        <v>46291</v>
      </c>
      <c r="G65" s="9"/>
    </row>
    <row r="66" customFormat="false" ht="15" hidden="false" customHeight="true" outlineLevel="0" collapsed="false">
      <c r="A66" s="9" t="s">
        <v>531</v>
      </c>
      <c r="B66" s="9" t="s">
        <v>389</v>
      </c>
      <c r="C66" s="9" t="n">
        <v>240</v>
      </c>
      <c r="D66" s="9" t="s">
        <v>532</v>
      </c>
      <c r="E66" s="9" t="s">
        <v>533</v>
      </c>
      <c r="F66" s="10" t="n">
        <v>46291</v>
      </c>
      <c r="G66" s="9"/>
    </row>
    <row r="67" customFormat="false" ht="15" hidden="false" customHeight="true" outlineLevel="0" collapsed="false">
      <c r="A67" s="9" t="s">
        <v>534</v>
      </c>
      <c r="B67" s="9" t="s">
        <v>373</v>
      </c>
      <c r="C67" s="9" t="n">
        <v>10584</v>
      </c>
      <c r="D67" s="9" t="s">
        <v>535</v>
      </c>
      <c r="E67" s="9" t="s">
        <v>536</v>
      </c>
      <c r="F67" s="10" t="n">
        <v>46291</v>
      </c>
      <c r="G67" s="9"/>
    </row>
    <row r="68" customFormat="false" ht="15" hidden="false" customHeight="true" outlineLevel="0" collapsed="false">
      <c r="A68" s="9" t="s">
        <v>362</v>
      </c>
      <c r="B68" s="9" t="s">
        <v>373</v>
      </c>
      <c r="C68" s="9" t="n">
        <v>14634</v>
      </c>
      <c r="D68" s="9" t="s">
        <v>537</v>
      </c>
      <c r="E68" s="9" t="s">
        <v>538</v>
      </c>
      <c r="F68" s="10" t="n">
        <v>46291</v>
      </c>
      <c r="G68" s="9"/>
    </row>
    <row r="69" customFormat="false" ht="15" hidden="false" customHeight="true" outlineLevel="0" collapsed="false">
      <c r="A69" s="9" t="s">
        <v>300</v>
      </c>
      <c r="B69" s="9" t="s">
        <v>393</v>
      </c>
      <c r="C69" s="9" t="n">
        <v>6566</v>
      </c>
      <c r="D69" s="9" t="s">
        <v>539</v>
      </c>
      <c r="E69" s="9" t="s">
        <v>540</v>
      </c>
      <c r="F69" s="10" t="n">
        <v>46291</v>
      </c>
      <c r="G69" s="9"/>
    </row>
    <row r="70" customFormat="false" ht="15" hidden="false" customHeight="true" outlineLevel="0" collapsed="false">
      <c r="A70" s="9" t="s">
        <v>305</v>
      </c>
      <c r="B70" s="9" t="s">
        <v>396</v>
      </c>
      <c r="C70" s="9" t="n">
        <v>1746</v>
      </c>
      <c r="D70" s="9" t="s">
        <v>541</v>
      </c>
      <c r="E70" s="9" t="s">
        <v>542</v>
      </c>
      <c r="F70" s="10" t="n">
        <v>46291</v>
      </c>
      <c r="G70" s="9"/>
    </row>
    <row r="71" customFormat="false" ht="15" hidden="false" customHeight="true" outlineLevel="0" collapsed="false">
      <c r="A71" s="9" t="s">
        <v>309</v>
      </c>
      <c r="B71" s="9" t="s">
        <v>396</v>
      </c>
      <c r="C71" s="9" t="n">
        <v>2834</v>
      </c>
      <c r="D71" s="9" t="s">
        <v>543</v>
      </c>
      <c r="E71" s="9" t="s">
        <v>544</v>
      </c>
      <c r="F71" s="10" t="n">
        <v>46291</v>
      </c>
      <c r="G71" s="9"/>
    </row>
    <row r="72" customFormat="false" ht="15" hidden="false" customHeight="true" outlineLevel="0" collapsed="false">
      <c r="A72" s="9" t="s">
        <v>545</v>
      </c>
      <c r="B72" s="9" t="s">
        <v>466</v>
      </c>
      <c r="C72" s="9" t="n">
        <v>6113</v>
      </c>
      <c r="D72" s="9" t="s">
        <v>546</v>
      </c>
      <c r="E72" s="9" t="s">
        <v>547</v>
      </c>
      <c r="F72" s="10" t="n">
        <v>46291</v>
      </c>
      <c r="G72" s="9"/>
    </row>
    <row r="73" customFormat="false" ht="15" hidden="false" customHeight="true" outlineLevel="0" collapsed="false">
      <c r="A73" s="9" t="s">
        <v>548</v>
      </c>
      <c r="B73" s="9" t="s">
        <v>389</v>
      </c>
      <c r="C73" s="9" t="n">
        <v>5067</v>
      </c>
      <c r="D73" s="9" t="s">
        <v>549</v>
      </c>
      <c r="E73" s="9" t="s">
        <v>550</v>
      </c>
      <c r="F73" s="10" t="n">
        <v>46291</v>
      </c>
      <c r="G73" s="9"/>
    </row>
    <row r="74" customFormat="false" ht="15" hidden="false" customHeight="true" outlineLevel="0" collapsed="false">
      <c r="A74" s="9" t="s">
        <v>315</v>
      </c>
      <c r="B74" s="9" t="s">
        <v>393</v>
      </c>
      <c r="C74" s="9" t="n">
        <v>3798</v>
      </c>
      <c r="D74" s="9" t="s">
        <v>551</v>
      </c>
      <c r="E74" s="9" t="s">
        <v>552</v>
      </c>
      <c r="F74" s="10" t="n">
        <v>46291</v>
      </c>
      <c r="G74" s="9"/>
    </row>
  </sheetData>
  <autoFilter ref="A1:G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12"/>
    <col collapsed="false" customWidth="true" hidden="false" outlineLevel="0" max="3" min="3" style="1" width="10"/>
    <col collapsed="false" customWidth="true" hidden="false" outlineLevel="0" max="4" min="4" style="1" width="16"/>
    <col collapsed="false" customWidth="true" hidden="false" outlineLevel="0" max="5" min="5" style="1" width="44"/>
    <col collapsed="false" customWidth="true" hidden="false" outlineLevel="0" max="6" min="6" style="1" width="10"/>
    <col collapsed="false" customWidth="true" hidden="false" outlineLevel="0" max="7" min="7" style="1" width="40"/>
    <col collapsed="false" customWidth="true" hidden="false" outlineLevel="0" max="8" min="8" style="1" width="20"/>
    <col collapsed="false" customWidth="true" hidden="false" outlineLevel="0" max="9" min="9" style="1" width="14"/>
    <col collapsed="false" customWidth="true" hidden="false" outlineLevel="0" max="10" min="10" style="1" width="22"/>
    <col collapsed="false" customWidth="true" hidden="false" outlineLevel="0" max="11" min="11" style="1" width="34"/>
    <col collapsed="false" customWidth="true" hidden="false" outlineLevel="0" max="12" min="12" style="1" width="18"/>
    <col collapsed="false" customWidth="true" hidden="false" outlineLevel="0" max="13" min="13" style="1" width="8"/>
    <col collapsed="false" customWidth="true" hidden="false" outlineLevel="0" max="14" min="14" style="1" width="9"/>
    <col collapsed="false" customWidth="true" hidden="false" outlineLevel="0" max="15" min="15" style="1" width="8"/>
    <col collapsed="false" customWidth="true" hidden="false" outlineLevel="0" max="16" min="16" style="1" width="14"/>
    <col collapsed="false" customWidth="true" hidden="false" outlineLevel="0" max="17" min="17" style="1" width="10"/>
    <col collapsed="false" customWidth="true" hidden="false" outlineLevel="0" max="18" min="18" style="1" width="28"/>
    <col collapsed="false" customWidth="true" hidden="false" outlineLevel="0" max="19" min="19" style="1" width="14"/>
    <col collapsed="false" customWidth="true" hidden="false" outlineLevel="0" max="21" min="20" style="1" width="13"/>
    <col collapsed="false" customWidth="true" hidden="false" outlineLevel="0" max="22" min="22" style="1" width="18"/>
    <col collapsed="false" customWidth="true" hidden="false" outlineLevel="0" max="23" min="23" style="1" width="14"/>
    <col collapsed="false" customWidth="true" hidden="false" outlineLevel="0" max="24" min="24" style="1" width="20"/>
    <col collapsed="false" customWidth="true" hidden="false" outlineLevel="0" max="25" min="25" style="1" width="34"/>
    <col collapsed="false" customWidth="true" hidden="false" outlineLevel="0" max="26" min="26" style="1" width="44"/>
    <col collapsed="false" customWidth="true" hidden="false" outlineLevel="0" max="27" min="27" style="1" width="12"/>
    <col collapsed="false" customWidth="true" hidden="false" outlineLevel="0" max="28" min="28" style="1" width="16"/>
  </cols>
  <sheetData>
    <row r="1" customFormat="false" ht="31.5" hidden="false" customHeight="true" outlineLevel="0" collapsed="false">
      <c r="A1" s="5" t="s">
        <v>553</v>
      </c>
      <c r="B1" s="5" t="s">
        <v>323</v>
      </c>
      <c r="C1" s="5" t="s">
        <v>554</v>
      </c>
      <c r="D1" s="5" t="s">
        <v>5</v>
      </c>
      <c r="E1" s="5" t="s">
        <v>555</v>
      </c>
      <c r="F1" s="5" t="s">
        <v>556</v>
      </c>
      <c r="G1" s="5" t="s">
        <v>557</v>
      </c>
      <c r="H1" s="5" t="s">
        <v>558</v>
      </c>
      <c r="I1" s="5" t="s">
        <v>559</v>
      </c>
      <c r="J1" s="5" t="s">
        <v>560</v>
      </c>
      <c r="K1" s="5" t="s">
        <v>561</v>
      </c>
      <c r="L1" s="5" t="s">
        <v>562</v>
      </c>
      <c r="M1" s="5" t="s">
        <v>563</v>
      </c>
      <c r="N1" s="5" t="s">
        <v>564</v>
      </c>
      <c r="O1" s="5" t="s">
        <v>565</v>
      </c>
      <c r="P1" s="5" t="s">
        <v>566</v>
      </c>
      <c r="Q1" s="5" t="s">
        <v>567</v>
      </c>
      <c r="R1" s="5" t="s">
        <v>568</v>
      </c>
      <c r="S1" s="5" t="s">
        <v>569</v>
      </c>
      <c r="T1" s="5" t="s">
        <v>570</v>
      </c>
      <c r="U1" s="5" t="s">
        <v>571</v>
      </c>
      <c r="V1" s="5" t="s">
        <v>572</v>
      </c>
      <c r="W1" s="5" t="s">
        <v>573</v>
      </c>
      <c r="X1" s="5" t="s">
        <v>574</v>
      </c>
      <c r="Y1" s="5" t="s">
        <v>575</v>
      </c>
      <c r="Z1" s="5" t="s">
        <v>576</v>
      </c>
      <c r="AA1" s="5" t="s">
        <v>11</v>
      </c>
      <c r="AB1" s="5" t="s">
        <v>329</v>
      </c>
    </row>
    <row r="2" customFormat="false" ht="45.75" hidden="false" customHeight="true" outlineLevel="0" collapsed="false">
      <c r="A2" s="9" t="s">
        <v>577</v>
      </c>
      <c r="B2" s="10" t="n">
        <v>46291</v>
      </c>
      <c r="C2" s="11" t="n">
        <v>0.445081018518519</v>
      </c>
      <c r="D2" s="9" t="s">
        <v>42</v>
      </c>
      <c r="E2" s="9" t="s">
        <v>578</v>
      </c>
      <c r="F2" s="9"/>
      <c r="G2" s="9"/>
      <c r="H2" s="9" t="s">
        <v>579</v>
      </c>
      <c r="I2" s="9"/>
      <c r="J2" s="9" t="s">
        <v>580</v>
      </c>
      <c r="K2" s="9"/>
      <c r="L2" s="9"/>
      <c r="M2" s="9"/>
      <c r="N2" s="9"/>
      <c r="O2" s="9"/>
      <c r="P2" s="9"/>
      <c r="Q2" s="9"/>
      <c r="R2" s="9"/>
      <c r="S2" s="9" t="s">
        <v>581</v>
      </c>
      <c r="T2" s="9"/>
      <c r="U2" s="9" t="n">
        <v>0.406</v>
      </c>
      <c r="V2" s="9"/>
      <c r="W2" s="9"/>
      <c r="X2" s="9"/>
      <c r="Y2" s="9"/>
      <c r="Z2" s="9" t="s">
        <v>582</v>
      </c>
      <c r="AA2" s="9" t="s">
        <v>52</v>
      </c>
      <c r="AB2" s="9"/>
    </row>
    <row r="3" customFormat="false" ht="57" hidden="false" customHeight="true" outlineLevel="0" collapsed="false">
      <c r="A3" s="9" t="s">
        <v>583</v>
      </c>
      <c r="B3" s="10" t="n">
        <v>46291</v>
      </c>
      <c r="C3" s="11" t="n">
        <v>0.445081018518519</v>
      </c>
      <c r="D3" s="9" t="s">
        <v>42</v>
      </c>
      <c r="E3" s="9" t="s">
        <v>584</v>
      </c>
      <c r="F3" s="9"/>
      <c r="G3" s="9"/>
      <c r="H3" s="9" t="s">
        <v>585</v>
      </c>
      <c r="I3" s="9"/>
      <c r="J3" s="9" t="s">
        <v>586</v>
      </c>
      <c r="K3" s="9"/>
      <c r="L3" s="9"/>
      <c r="M3" s="9" t="n">
        <v>42</v>
      </c>
      <c r="N3" s="9"/>
      <c r="O3" s="9"/>
      <c r="P3" s="9"/>
      <c r="Q3" s="9"/>
      <c r="R3" s="9"/>
      <c r="S3" s="9" t="s">
        <v>581</v>
      </c>
      <c r="T3" s="9"/>
      <c r="U3" s="9" t="n">
        <v>0.1267</v>
      </c>
      <c r="V3" s="9"/>
      <c r="W3" s="9"/>
      <c r="X3" s="9"/>
      <c r="Y3" s="9"/>
      <c r="Z3" s="9" t="s">
        <v>587</v>
      </c>
      <c r="AA3" s="9" t="s">
        <v>52</v>
      </c>
      <c r="AB3" s="9"/>
    </row>
    <row r="4" customFormat="false" ht="102" hidden="false" customHeight="true" outlineLevel="0" collapsed="false">
      <c r="A4" s="9" t="s">
        <v>588</v>
      </c>
      <c r="B4" s="10" t="n">
        <v>46291</v>
      </c>
      <c r="C4" s="11" t="n">
        <v>0.449895833333333</v>
      </c>
      <c r="D4" s="9" t="s">
        <v>42</v>
      </c>
      <c r="E4" s="9" t="s">
        <v>589</v>
      </c>
      <c r="F4" s="9" t="s">
        <v>583</v>
      </c>
      <c r="G4" s="9"/>
      <c r="H4" s="9" t="s">
        <v>590</v>
      </c>
      <c r="I4" s="9"/>
      <c r="J4" s="9" t="s">
        <v>586</v>
      </c>
      <c r="K4" s="9"/>
      <c r="L4" s="9"/>
      <c r="M4" s="9"/>
      <c r="N4" s="9"/>
      <c r="O4" s="9"/>
      <c r="P4" s="9"/>
      <c r="Q4" s="9"/>
      <c r="R4" s="9"/>
      <c r="S4" s="9" t="s">
        <v>581</v>
      </c>
      <c r="T4" s="9"/>
      <c r="U4" s="9" t="n">
        <v>0.1143</v>
      </c>
      <c r="V4" s="9"/>
      <c r="W4" s="9"/>
      <c r="X4" s="9"/>
      <c r="Y4" s="9"/>
      <c r="Z4" s="9" t="s">
        <v>591</v>
      </c>
      <c r="AA4" s="9" t="s">
        <v>52</v>
      </c>
      <c r="AB4" s="9"/>
    </row>
    <row r="5" customFormat="false" ht="102" hidden="false" customHeight="true" outlineLevel="0" collapsed="false">
      <c r="A5" s="9" t="s">
        <v>592</v>
      </c>
      <c r="B5" s="10" t="n">
        <v>46291</v>
      </c>
      <c r="C5" s="11" t="n">
        <v>0.620289351851852</v>
      </c>
      <c r="D5" s="9" t="s">
        <v>42</v>
      </c>
      <c r="E5" s="9" t="s">
        <v>593</v>
      </c>
      <c r="F5" s="9" t="s">
        <v>588</v>
      </c>
      <c r="G5" s="9"/>
      <c r="H5" s="9" t="s">
        <v>594</v>
      </c>
      <c r="I5" s="9"/>
      <c r="J5" s="9" t="s">
        <v>586</v>
      </c>
      <c r="K5" s="9"/>
      <c r="L5" s="9"/>
      <c r="M5" s="9"/>
      <c r="N5" s="9"/>
      <c r="O5" s="9"/>
      <c r="P5" s="9"/>
      <c r="Q5" s="9"/>
      <c r="R5" s="9"/>
      <c r="S5" s="9" t="s">
        <v>581</v>
      </c>
      <c r="T5" s="9"/>
      <c r="U5" s="9" t="n">
        <v>0.1155</v>
      </c>
      <c r="V5" s="9" t="n">
        <v>0.1301</v>
      </c>
      <c r="W5" s="9"/>
      <c r="X5" s="9"/>
      <c r="Y5" s="9"/>
      <c r="Z5" s="9" t="s">
        <v>595</v>
      </c>
      <c r="AA5" s="9" t="s">
        <v>52</v>
      </c>
      <c r="AB5" s="9"/>
    </row>
    <row r="6" customFormat="false" ht="124.5" hidden="false" customHeight="true" outlineLevel="0" collapsed="false">
      <c r="A6" s="9" t="s">
        <v>596</v>
      </c>
      <c r="B6" s="10" t="n">
        <v>46291</v>
      </c>
      <c r="C6" s="11" t="n">
        <v>0.631400462962963</v>
      </c>
      <c r="D6" s="9" t="s">
        <v>42</v>
      </c>
      <c r="E6" s="9" t="s">
        <v>597</v>
      </c>
      <c r="F6" s="9" t="s">
        <v>583</v>
      </c>
      <c r="G6" s="9"/>
      <c r="H6" s="9" t="s">
        <v>598</v>
      </c>
      <c r="I6" s="9"/>
      <c r="J6" s="9" t="s">
        <v>580</v>
      </c>
      <c r="K6" s="9"/>
      <c r="L6" s="9"/>
      <c r="M6" s="9" t="n">
        <v>42</v>
      </c>
      <c r="N6" s="9"/>
      <c r="O6" s="9"/>
      <c r="P6" s="9"/>
      <c r="Q6" s="9"/>
      <c r="R6" s="9"/>
      <c r="S6" s="9" t="s">
        <v>581</v>
      </c>
      <c r="T6" s="9"/>
      <c r="U6" s="9" t="n">
        <v>0.1245</v>
      </c>
      <c r="V6" s="9"/>
      <c r="W6" s="9"/>
      <c r="X6" s="9"/>
      <c r="Y6" s="9"/>
      <c r="Z6" s="9" t="s">
        <v>599</v>
      </c>
      <c r="AA6" s="9" t="s">
        <v>52</v>
      </c>
      <c r="AB6" s="9"/>
    </row>
  </sheetData>
  <autoFilter ref="A1:AB1"/>
  <dataValidations count="1">
    <dataValidation allowBlank="true" errorStyle="stop" operator="between" showDropDown="false" showErrorMessage="false" showInputMessage="false" sqref="AA2:AA1001" type="list">
      <formula1>"Planned,Running,Done,Failed,Abandoned"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2"/>
    <col collapsed="false" customWidth="true" hidden="false" outlineLevel="0" max="2" min="2" style="1" width="14"/>
    <col collapsed="false" customWidth="true" hidden="false" outlineLevel="0" max="4" min="4" style="1" width="24"/>
  </cols>
  <sheetData>
    <row r="1" customFormat="false" ht="15" hidden="false" customHeight="true" outlineLevel="0" collapsed="false">
      <c r="A1" s="2" t="s">
        <v>600</v>
      </c>
      <c r="B1" s="13"/>
      <c r="C1" s="13"/>
      <c r="D1" s="13"/>
      <c r="E1" s="13"/>
    </row>
    <row r="2" customFormat="false" ht="15" hidden="false" customHeight="true" outlineLevel="0" collapsed="false">
      <c r="A2" s="13"/>
      <c r="B2" s="13"/>
      <c r="C2" s="13"/>
      <c r="D2" s="13"/>
      <c r="E2" s="13"/>
    </row>
    <row r="3" customFormat="false" ht="15" hidden="false" customHeight="true" outlineLevel="0" collapsed="false">
      <c r="A3" s="13" t="s">
        <v>601</v>
      </c>
      <c r="B3" s="13" t="n">
        <f aca="false">COUNTA(Change_Log!A2:A5000)</f>
        <v>73</v>
      </c>
      <c r="C3" s="13"/>
      <c r="D3" s="13" t="s">
        <v>602</v>
      </c>
      <c r="E3" s="13" t="n">
        <f aca="false">COUNTA(Experiments!A2:A5000)</f>
        <v>5</v>
      </c>
    </row>
    <row r="4" customFormat="false" ht="15" hidden="false" customHeight="true" outlineLevel="0" collapsed="false">
      <c r="A4" s="13" t="s">
        <v>603</v>
      </c>
      <c r="B4" s="13" t="n">
        <f aca="false">COUNTA(Findings!A2:A5000)</f>
        <v>6</v>
      </c>
      <c r="C4" s="13"/>
      <c r="D4" s="13" t="s">
        <v>604</v>
      </c>
      <c r="E4" s="13" t="n">
        <f aca="false">COUNTIF(Experiments!AA2:AA5000,"Done")</f>
        <v>5</v>
      </c>
    </row>
    <row r="5" customFormat="false" ht="15" hidden="false" customHeight="true" outlineLevel="0" collapsed="false">
      <c r="A5" s="13" t="s">
        <v>605</v>
      </c>
      <c r="B5" s="13" t="n">
        <f aca="false">COUNTIF(Findings!K2:K5000,"Open")</f>
        <v>1</v>
      </c>
      <c r="C5" s="13"/>
      <c r="D5" s="13" t="s">
        <v>606</v>
      </c>
      <c r="E5" s="13" t="n">
        <f aca="false">COUNTIF(Experiments!AA2:AA5000,"Failed")</f>
        <v>0</v>
      </c>
    </row>
    <row r="6" customFormat="false" ht="15" hidden="false" customHeight="true" outlineLevel="0" collapsed="false">
      <c r="A6" s="13"/>
      <c r="B6" s="13"/>
      <c r="C6" s="13"/>
      <c r="D6" s="13"/>
      <c r="E6" s="13"/>
    </row>
    <row r="7" customFormat="false" ht="15" hidden="false" customHeight="true" outlineLevel="0" collapsed="false">
      <c r="A7" s="14" t="s">
        <v>607</v>
      </c>
      <c r="B7" s="13"/>
      <c r="C7" s="13"/>
      <c r="D7" s="13"/>
      <c r="E7" s="13"/>
    </row>
    <row r="8" customFormat="false" ht="15" hidden="false" customHeight="true" outlineLevel="0" collapsed="false">
      <c r="A8" s="13" t="s">
        <v>608</v>
      </c>
      <c r="B8" s="13" t="n">
        <f aca="false">COUNTIF(Change_Log!I2:I5000,A8)</f>
        <v>0</v>
      </c>
      <c r="C8" s="13"/>
      <c r="D8" s="13"/>
      <c r="E8" s="13"/>
    </row>
    <row r="9" customFormat="false" ht="15" hidden="false" customHeight="true" outlineLevel="0" collapsed="false">
      <c r="A9" s="13" t="s">
        <v>609</v>
      </c>
      <c r="B9" s="13" t="n">
        <f aca="false">COUNTIF(Change_Log!I2:I5000,A9)</f>
        <v>0</v>
      </c>
      <c r="C9" s="13"/>
      <c r="D9" s="13"/>
      <c r="E9" s="13"/>
    </row>
    <row r="10" customFormat="false" ht="15" hidden="false" customHeight="true" outlineLevel="0" collapsed="false">
      <c r="A10" s="13" t="s">
        <v>45</v>
      </c>
      <c r="B10" s="13" t="n">
        <f aca="false">COUNTIF(Change_Log!I2:I5000,A10)</f>
        <v>29</v>
      </c>
      <c r="C10" s="13"/>
      <c r="D10" s="13"/>
      <c r="E10" s="13"/>
    </row>
    <row r="11" customFormat="false" ht="15" hidden="false" customHeight="true" outlineLevel="0" collapsed="false">
      <c r="A11" s="13" t="s">
        <v>187</v>
      </c>
      <c r="B11" s="13" t="n">
        <f aca="false">COUNTIF(Change_Log!I2:I5000,A11)</f>
        <v>13</v>
      </c>
      <c r="C11" s="13"/>
      <c r="D11" s="13"/>
      <c r="E11" s="13"/>
    </row>
    <row r="12" customFormat="false" ht="15" hidden="false" customHeight="true" outlineLevel="0" collapsed="false">
      <c r="A12" s="13" t="s">
        <v>88</v>
      </c>
      <c r="B12" s="13" t="n">
        <f aca="false">COUNTIF(Change_Log!I2:I5000,A12)</f>
        <v>5</v>
      </c>
      <c r="C12" s="13"/>
      <c r="D12" s="13"/>
      <c r="E12" s="13"/>
    </row>
    <row r="13" customFormat="false" ht="15" hidden="false" customHeight="true" outlineLevel="0" collapsed="false">
      <c r="A13" s="13" t="s">
        <v>610</v>
      </c>
      <c r="B13" s="13" t="n">
        <f aca="false">COUNTIF(Change_Log!I2:I5000,A13)</f>
        <v>0</v>
      </c>
      <c r="C13" s="13"/>
      <c r="D13" s="13"/>
      <c r="E13" s="13"/>
    </row>
    <row r="14" customFormat="false" ht="15" hidden="false" customHeight="true" outlineLevel="0" collapsed="false">
      <c r="A14" s="13" t="s">
        <v>92</v>
      </c>
      <c r="B14" s="13" t="n">
        <f aca="false">COUNTIF(Change_Log!I2:I5000,A14)</f>
        <v>9</v>
      </c>
      <c r="C14" s="13"/>
      <c r="D14" s="13"/>
      <c r="E14" s="13"/>
    </row>
    <row r="15" customFormat="false" ht="15" hidden="false" customHeight="true" outlineLevel="0" collapsed="false">
      <c r="A15" s="13" t="s">
        <v>147</v>
      </c>
      <c r="B15" s="13" t="n">
        <f aca="false">COUNTIF(Change_Log!I2:I5000,A15)</f>
        <v>3</v>
      </c>
      <c r="C15" s="13"/>
      <c r="D15" s="13"/>
      <c r="E15" s="13"/>
    </row>
    <row r="16" customFormat="false" ht="15" hidden="false" customHeight="true" outlineLevel="0" collapsed="false">
      <c r="A16" s="13" t="s">
        <v>61</v>
      </c>
      <c r="B16" s="13" t="n">
        <f aca="false">COUNTIF(Change_Log!I2:I5000,A16)</f>
        <v>8</v>
      </c>
      <c r="C16" s="13"/>
      <c r="D16" s="13"/>
      <c r="E16" s="13"/>
    </row>
    <row r="17" customFormat="false" ht="15" hidden="false" customHeight="true" outlineLevel="0" collapsed="false">
      <c r="A17" s="13" t="s">
        <v>128</v>
      </c>
      <c r="B17" s="13" t="n">
        <f aca="false">COUNTIF(Change_Log!I2:I5000,A17)</f>
        <v>6</v>
      </c>
      <c r="C17" s="13"/>
      <c r="D17" s="13"/>
      <c r="E17" s="13"/>
    </row>
    <row r="18" customFormat="false" ht="15" hidden="false" customHeight="true" outlineLevel="0" collapsed="false">
      <c r="A18" s="13"/>
      <c r="B18" s="13"/>
      <c r="C18" s="13"/>
      <c r="D18" s="13"/>
      <c r="E18" s="13"/>
    </row>
    <row r="19" customFormat="false" ht="15" hidden="false" customHeight="true" outlineLevel="0" collapsed="false">
      <c r="A19" s="14" t="s">
        <v>611</v>
      </c>
      <c r="B19" s="13"/>
      <c r="C19" s="13"/>
      <c r="D19" s="13"/>
      <c r="E19" s="13"/>
    </row>
    <row r="20" customFormat="false" ht="15" hidden="false" customHeight="true" outlineLevel="0" collapsed="false">
      <c r="A20" s="13" t="s">
        <v>52</v>
      </c>
      <c r="B20" s="13" t="n">
        <f aca="false">COUNTIF(Change_Log!S2:S5000,A20)</f>
        <v>73</v>
      </c>
      <c r="C20" s="13"/>
      <c r="D20" s="13"/>
      <c r="E20" s="13"/>
    </row>
    <row r="21" customFormat="false" ht="15" hidden="false" customHeight="true" outlineLevel="0" collapsed="false">
      <c r="A21" s="13" t="s">
        <v>366</v>
      </c>
      <c r="B21" s="13" t="n">
        <f aca="false">COUNTIF(Change_Log!S2:S5000,A21)</f>
        <v>0</v>
      </c>
      <c r="C21" s="13"/>
      <c r="D21" s="13"/>
      <c r="E21" s="13"/>
    </row>
    <row r="22" customFormat="false" ht="15" hidden="false" customHeight="true" outlineLevel="0" collapsed="false">
      <c r="A22" s="13" t="s">
        <v>612</v>
      </c>
      <c r="B22" s="13" t="n">
        <f aca="false">COUNTIF(Change_Log!S2:S5000,A22)</f>
        <v>0</v>
      </c>
      <c r="C22" s="13"/>
      <c r="D22" s="13"/>
      <c r="E22" s="13"/>
    </row>
    <row r="23" customFormat="false" ht="15" hidden="false" customHeight="true" outlineLevel="0" collapsed="false">
      <c r="A23" s="13" t="s">
        <v>613</v>
      </c>
      <c r="B23" s="13" t="n">
        <f aca="false">COUNTIF(Change_Log!S2:S5000,A23)</f>
        <v>0</v>
      </c>
      <c r="C23" s="13"/>
      <c r="D23" s="13"/>
      <c r="E23" s="13"/>
    </row>
    <row r="24" customFormat="false" ht="15" hidden="false" customHeight="true" outlineLevel="0" collapsed="false">
      <c r="A24" s="13" t="s">
        <v>344</v>
      </c>
      <c r="B24" s="13" t="n">
        <f aca="false">COUNTIF(Change_Log!S2:S5000,A24)</f>
        <v>0</v>
      </c>
      <c r="C24" s="13"/>
      <c r="D24" s="13"/>
      <c r="E24" s="13"/>
    </row>
    <row r="25" customFormat="false" ht="15" hidden="false" customHeight="true" outlineLevel="0" collapsed="false">
      <c r="A25" s="13"/>
      <c r="B25" s="13"/>
      <c r="C25" s="13"/>
      <c r="D25" s="13"/>
      <c r="E25" s="13"/>
    </row>
    <row r="26" customFormat="false" ht="15" hidden="false" customHeight="true" outlineLevel="0" collapsed="false">
      <c r="A26" s="14" t="s">
        <v>614</v>
      </c>
      <c r="B26" s="13"/>
      <c r="C26" s="13"/>
      <c r="D26" s="13"/>
      <c r="E26" s="13"/>
    </row>
    <row r="27" customFormat="false" ht="15" hidden="false" customHeight="true" outlineLevel="0" collapsed="false">
      <c r="A27" s="13" t="s">
        <v>51</v>
      </c>
      <c r="B27" s="13" t="n">
        <f aca="false">COUNTIF(Change_Log!R2:R5000,A27)</f>
        <v>73</v>
      </c>
      <c r="C27" s="13"/>
      <c r="D27" s="13"/>
      <c r="E27" s="13"/>
    </row>
    <row r="28" customFormat="false" ht="15" hidden="false" customHeight="true" outlineLevel="0" collapsed="false">
      <c r="A28" s="13" t="s">
        <v>338</v>
      </c>
      <c r="B28" s="13" t="n">
        <f aca="false">COUNTIF(Change_Log!R2:R5000,A28)</f>
        <v>0</v>
      </c>
      <c r="C28" s="13"/>
      <c r="D28" s="13"/>
      <c r="E28" s="13"/>
    </row>
    <row r="29" customFormat="false" ht="15" hidden="false" customHeight="true" outlineLevel="0" collapsed="false">
      <c r="A29" s="13" t="s">
        <v>331</v>
      </c>
      <c r="B29" s="13" t="n">
        <f aca="false">COUNTIF(Change_Log!R2:R5000,A29)</f>
        <v>0</v>
      </c>
      <c r="C29" s="13"/>
      <c r="D29" s="13"/>
      <c r="E29" s="13"/>
    </row>
    <row r="30" customFormat="false" ht="15" hidden="false" customHeight="true" outlineLevel="0" collapsed="false">
      <c r="A30" s="13" t="s">
        <v>346</v>
      </c>
      <c r="B30" s="13" t="n">
        <f aca="false">COUNTIF(Change_Log!R2:R5000,A30)</f>
        <v>0</v>
      </c>
      <c r="C30" s="13"/>
      <c r="D30" s="13"/>
      <c r="E30" s="13"/>
    </row>
    <row r="31" customFormat="false" ht="15" hidden="false" customHeight="true" outlineLevel="0" collapsed="false">
      <c r="A31" s="13" t="s">
        <v>615</v>
      </c>
      <c r="B31" s="13" t="n">
        <f aca="false">COUNTIF(Change_Log!R2:R5000,A31)</f>
        <v>0</v>
      </c>
      <c r="C31" s="13"/>
      <c r="D31" s="13"/>
      <c r="E31" s="1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2026-09-22T04:47:32Z</dcterms:created>
  <dc:creator>openpyxl</dc:creator>
  <dc:description/>
  <dc:language>en-US</dc:language>
  <cp:lastModifiedBy/>
  <dcterms:modified xsi:type="dcterms:W3CDTF">2026-09-26T13:11:35Z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