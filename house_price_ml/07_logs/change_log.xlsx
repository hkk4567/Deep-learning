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D:\DL\house_price_ml\07_logs\"/>
    </mc:Choice>
  </mc:AlternateContent>
  <xr:revisionPtr revIDLastSave="0" documentId="13_ncr:1_{A5D086EB-B610-4B2D-8500-F2758FC8C653}" xr6:coauthVersionLast="45" xr6:coauthVersionMax="45" xr10:uidLastSave="{00000000-0000-0000-0000-000000000000}"/>
  <bookViews>
    <workbookView xWindow="3075" yWindow="3075" windowWidth="21600" windowHeight="11175" tabRatio="500" activeTab="1" xr2:uid="{00000000-000D-0000-FFFF-FFFF00000000}"/>
  </bookViews>
  <sheets>
    <sheet name="README" sheetId="1" r:id="rId1"/>
    <sheet name="Change_Log" sheetId="2" r:id="rId2"/>
    <sheet name="Findings" sheetId="3" r:id="rId3"/>
    <sheet name="File_Registry" sheetId="4" r:id="rId4"/>
    <sheet name="Experiments" sheetId="5" r:id="rId5"/>
    <sheet name="Summary" sheetId="6" r:id="rId6"/>
  </sheets>
  <definedNames>
    <definedName name="_xlnm._FilterDatabase" localSheetId="1" hidden="1">Change_Log!$A$1:$X$1</definedName>
    <definedName name="_xlnm._FilterDatabase" localSheetId="4" hidden="1">Experiments!$A$1:$AB$1</definedName>
    <definedName name="_xlnm._FilterDatabase" localSheetId="3" hidden="1">File_Registry!$A$1:$G$1</definedName>
    <definedName name="_xlnm._FilterDatabase" localSheetId="2" hidden="1">Findings!$A$1:$L$1</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31" i="6" l="1"/>
  <c r="B30" i="6"/>
  <c r="B29" i="6"/>
  <c r="B28" i="6"/>
  <c r="B27" i="6"/>
  <c r="B24" i="6"/>
  <c r="B23" i="6"/>
  <c r="B22" i="6"/>
  <c r="B21" i="6"/>
  <c r="B20" i="6"/>
  <c r="B17" i="6"/>
  <c r="B16" i="6"/>
  <c r="B15" i="6"/>
  <c r="B14" i="6"/>
  <c r="B13" i="6"/>
  <c r="B12" i="6"/>
  <c r="B11" i="6"/>
  <c r="B10" i="6"/>
  <c r="B9" i="6"/>
  <c r="B8" i="6"/>
  <c r="E5" i="6"/>
  <c r="B5" i="6"/>
  <c r="E4" i="6"/>
  <c r="B4" i="6"/>
  <c r="E3" i="6"/>
  <c r="B3" i="6"/>
</calcChain>
</file>

<file path=xl/sharedStrings.xml><?xml version="1.0" encoding="utf-8"?>
<sst xmlns="http://schemas.openxmlformats.org/spreadsheetml/2006/main" count="1510" uniqueCount="648">
  <si>
    <t>change_log.xlsx - Nhật ký thay đổi dự án ML</t>
  </si>
  <si>
    <t>Quy ước</t>
  </si>
  <si>
    <t>Chỉ THÊM dòng (append-only). Không sửa/xóa dòng cũ; muốn đính chính thì thêm dòng mới và điền Liên_quan_Log_ID.</t>
  </si>
  <si>
    <t>Loại_hành_động</t>
  </si>
  <si>
    <t>EXPLORE đọc/khám phá | DISCOVER phát hiện mới | CREATE tạo file | MODIFY sửa | FIX sửa lỗi | DELETE xóa | RUN chạy code/lệnh | VERIFY kiểm chứng | DECISION quyết định (thường do người dùng) | NOTE ghi chú</t>
  </si>
  <si>
    <t>Người_thực_hiện</t>
  </si>
  <si>
    <t>Ai thực hiện hành động: 'Claude' hoặc tên người dùng/người khác.</t>
  </si>
  <si>
    <t>Yêu_cầu_bởi</t>
  </si>
  <si>
    <t>Ai yêu cầu/quyết định hành động (vd tên người dùng).</t>
  </si>
  <si>
    <t>Mức_độ</t>
  </si>
  <si>
    <t>Info &lt; Low &lt; Medium &lt; High &lt; Critical.</t>
  </si>
  <si>
    <t>Trạng_thái</t>
  </si>
  <si>
    <t>Done | Open | Needs-confirmation | Reverted | Wontfix.</t>
  </si>
  <si>
    <t>Trước/Sau</t>
  </si>
  <si>
    <t>Giá trị, dòng code hoặc hash trước và sau khi thay đổi.</t>
  </si>
  <si>
    <t>Múi_giờ</t>
  </si>
  <si>
    <t>Mặc định Asia/Ho_Chi_Minh (đổi bằng biến môi trường LOG_TZ).</t>
  </si>
  <si>
    <t>Experiments</t>
  </si>
  <si>
    <t>Mỗi thí nghiệm DL một dòng: Exp_ID, config + hash, seed, metric train/val, checkpoint. Test_metric chỉ điền cho mô hình cuối (test set dùng đúng một lần).</t>
  </si>
  <si>
    <t>Summary</t>
  </si>
  <si>
    <t>Thống kê bằng công thức; chạy recalc.py sau khi ghi xong để có giá trị cache.</t>
  </si>
  <si>
    <t>Log_ID</t>
  </si>
  <si>
    <t>Ngày (dd/mm/yyyy)</t>
  </si>
  <si>
    <t>Giờ (hh:mm:ss)</t>
  </si>
  <si>
    <t>Session_ID</t>
  </si>
  <si>
    <t>Loại_actor</t>
  </si>
  <si>
    <t>Bước_pipeline</t>
  </si>
  <si>
    <t>Tên_file</t>
  </si>
  <si>
    <t>Đường_dẫn</t>
  </si>
  <si>
    <t>Vị_trí (dòng/cell/hàm)</t>
  </si>
  <si>
    <t>Nội_dung</t>
  </si>
  <si>
    <t>Lý_do</t>
  </si>
  <si>
    <t>Trước</t>
  </si>
  <si>
    <t>Sau</t>
  </si>
  <si>
    <t>Cách_kiểm_chứng</t>
  </si>
  <si>
    <t>Liên_quan_Log_ID</t>
  </si>
  <si>
    <t>Đường_dẫn_backup</t>
  </si>
  <si>
    <t>Lệnh_Công_cụ</t>
  </si>
  <si>
    <t>Ghi_chú</t>
  </si>
  <si>
    <t>LOG-0001</t>
  </si>
  <si>
    <t>Asia/Ho_Chi_Minh</t>
  </si>
  <si>
    <t>S-20260922</t>
  </si>
  <si>
    <t>Claude</t>
  </si>
  <si>
    <t>AI</t>
  </si>
  <si>
    <t>CREATE</t>
  </si>
  <si>
    <t>P0 Khởi tạo</t>
  </si>
  <si>
    <t>house_price_ml</t>
  </si>
  <si>
    <t>.</t>
  </si>
  <si>
    <t>Tạo khung dự án 'house_price_ml' (11 thư mục) + 04_configs/base.yaml, README.md, .gitignore, requirements.txt</t>
  </si>
  <si>
    <t>Khung thư mục chuẩn của skill dl-project-from-raw-data</t>
  </si>
  <si>
    <t>Info</t>
  </si>
  <si>
    <t>Done</t>
  </si>
  <si>
    <t>scripts/scaffold_project.py</t>
  </si>
  <si>
    <t>LOG-0002</t>
  </si>
  <si>
    <t>P1 Nhập dữ liệu</t>
  </si>
  <si>
    <t>train.csv</t>
  </si>
  <si>
    <t>00_raw</t>
  </si>
  <si>
    <t>Nhập dataset thô vào 00_raw (sao chép 1 file); đặt 1 file ở chế độ chỉ-đọc</t>
  </si>
  <si>
    <t>Dữ liệu gốc bất biến; mọi xử lý ghi sang 01_data/</t>
  </si>
  <si>
    <t>LOG-0003</t>
  </si>
  <si>
    <t>DECISION</t>
  </si>
  <si>
    <t>Mục tiêu: dự đoán SalePrice (hồi quy) từ dữ liệu bảng Ames Housing. Mục đích: đồ án học tập. Mô hình: pipeline ML (scikit-learn/XGBoost), KHÔNG dùng Deep Learning theo yêu cầu người dùng.</t>
  </si>
  <si>
    <t>Người dùng xác nhận qua câu hỏi P0</t>
  </si>
  <si>
    <t>LOG-0004</t>
  </si>
  <si>
    <t>Metric chính: RMSLE (RMSE trên log1p(SalePrice)), chuẩn Kaggle House Prices. Metric phụ: MAE ($), R².</t>
  </si>
  <si>
    <t>Người dùng chọn RMSLE/log-RMSE</t>
  </si>
  <si>
    <t>LOG-0005</t>
  </si>
  <si>
    <t>Ràng buộc môi trường: CPU i5-12400F, GPU RTX5060 có sẵn. Vì đây là mô hình ML trên dữ liệu bảng (không DL) nên không cần GPU; dự báo chạy dưới 5 phút trên CPU.</t>
  </si>
  <si>
    <t>Người dùng cung cấp thông số máy</t>
  </si>
  <si>
    <t>LOG-0006</t>
  </si>
  <si>
    <t>P0 Môi trường</t>
  </si>
  <si>
    <t>requirements.txt</t>
  </si>
  <si>
    <t>Pin dependencies cho pipeline ML (không DL): pandas, numpy, scikit-learn, xgboost, matplotlib, joblib, PyYAML, openpyxl</t>
  </si>
  <si>
    <t>pip install -r requirements.txt trong venv mới -&gt; thành công; import sklearn(1.8.0), xgboost(3.4.1) OK</t>
  </si>
  <si>
    <t>LOG-0007</t>
  </si>
  <si>
    <t>setup_env.sh</t>
  </si>
  <si>
    <t>Script tạo venv + cài dependencies (Linux/macOS)</t>
  </si>
  <si>
    <t>Chạy thử trong sandbox: venv tạo thành công, cài package OK, import test pass</t>
  </si>
  <si>
    <t>LOG-0008</t>
  </si>
  <si>
    <t>setup_env.bat</t>
  </si>
  <si>
    <t>Script tạo venv + cài dependencies (Windows) - chưa chạy thử vì sandbox là Linux</t>
  </si>
  <si>
    <t>LOG-0009</t>
  </si>
  <si>
    <t>Huỳnh Kiện Khải</t>
  </si>
  <si>
    <t>P0 Cập nhật thông tin</t>
  </si>
  <si>
    <t>Người dùng cung cấp tên thật: Huỳnh Kiện Khải (tên tài khoản trước đó ghi là Kazana). Từ đây về sau dùng tên thật trong các dòng log mới.</t>
  </si>
  <si>
    <t>Người dùng yêu cầu trước khi vào P1</t>
  </si>
  <si>
    <t>LOG-0010</t>
  </si>
  <si>
    <t>FIX</t>
  </si>
  <si>
    <t>README.md: bổ sung tên người thực hiện dự án là Huỳnh Kiện Khải</t>
  </si>
  <si>
    <t>LOG-0011</t>
  </si>
  <si>
    <t>S-20260923</t>
  </si>
  <si>
    <t>RUN</t>
  </si>
  <si>
    <t>P1 Kiểm toán dữ liệu</t>
  </si>
  <si>
    <t>Chạy audit_dataset.py trên 00_raw/train.csv (--label-col SalePrice)</t>
  </si>
  <si>
    <t>1 file, 0 lỗi hỏng, 0 dòng trùng, 0 nhóm trùng nội dung. 19 cột có missing (PoolQC 1453/1460, MiscFeature 1406, Alley 1369, Fence 1179, FireplaceQu 690...). SalePrice là hồi quy liên tục nên phân bố nhãn trong report chỉ mang tính tham khảo.</t>
  </si>
  <si>
    <t>LOG-0012</t>
  </si>
  <si>
    <t>audit_dataset.py</t>
  </si>
  <si>
    <t>03_src/scripts/audit_dataset.py</t>
  </si>
  <si>
    <t>Copy script audit_dataset.py (từ skill) vào dự án để người dùng tự chạy lại được, không phụ thuộc môi trường sandbox</t>
  </si>
  <si>
    <t>LOG-0013</t>
  </si>
  <si>
    <t>P1 Chỉnh định dạng log</t>
  </si>
  <si>
    <t>Áp dụng font Times New Roman cho toàn bộ file change_log.xlsx (mọi sheet: README, Change_Log, Findings, File_Registry, Experiments, Summary). Không thay đổi nội dung các dòng cũ.</t>
  </si>
  <si>
    <t>Người dùng yêu cầu dùng font Times New Roman và ghi tiếng Việt đầy đủ có dấu</t>
  </si>
  <si>
    <t>Các dòng log trước đó (LOG-0001 đến LOG-0012, FND-0001) được ghi không dấu theo quy ước ví dụ của skill; log là append-only nên không sửa nội dung các dòng cũ đó. Từ dòng này trở đi, mọi mô tả mới sẽ dùng tiếng Việt có dấu đầy đủ.</t>
  </si>
  <si>
    <t>LOG-0014</t>
  </si>
  <si>
    <t>Ngoại lệ: đã chỉnh sửa trực tiếp nội dung các dòng LOG-0003..LOG-0012 và FND-0001 để thêm dấu tiếng Việt đầy đủ (không đổi ý nghĩa/số liệu, chỉ thêm dấu).</t>
  </si>
  <si>
    <t>Người dùng yêu cầu tường minh: 'chỉ riêng lần này' được sửa lại log vì tiếng Việt không dấu gây khó hiểu, dù quy tắc mặc định của skill là append-only (không sửa dòng cũ).</t>
  </si>
  <si>
    <t>LOG-0003,LOG-0004,LOG-0005,LOG-0006,LOG-0007,LOG-0008,LOG-0009,LOG-0010,LOG-0011,LOG-0012,FND-0001</t>
  </si>
  <si>
    <t>LOG-0015</t>
  </si>
  <si>
    <t>Sửa skill dl-project-from-raw-data: SKILL.md và references/log_schema.md bổ sung quy ước bắt buộc ghi log bằng tiếng Việt có dấu đầy đủ; scripts/log_change.py sửa các dòng README_ROWS (Loại_hành_động, Người_thực_hiện, Yêu_cầu_bởi, Múi_giờ) từ không dấu sang có dấu. Đồng thời cập nhật sheet README của change_log.xlsx trong dự án này cho khớp.</t>
  </si>
  <si>
    <t>Người dùng yêu cầu sửa skill để log luôn ghi tiếng Việt có dấu, áp dụng cho các dự án sau này</t>
  </si>
  <si>
    <t>LOG-0016</t>
  </si>
  <si>
    <t>S-20260924</t>
  </si>
  <si>
    <t>P2 Chia train/val/test</t>
  </si>
  <si>
    <t>Chạy make_splits.py trên 00_raw/train.csv (--id-col Id --label-col SalePrice --val 0.15 --test 0.15 --seed 42 --version v1)</t>
  </si>
  <si>
    <t>SalePrice là biến liên tục với gần như mọi giá trị là duy nhất nên stratify theo đúng giá trị thất bại (script tự động cảnh báo và chuyển sang chia ngẫu nhiên). Kết quả: train=1022, val=219, test=219 (~70/15/15). Kiểm chứng tự động: PASSED (không Id nào nằm ở &gt;1 split, không nhóm/sha256 xuyên split).</t>
  </si>
  <si>
    <t>LOG-0017</t>
  </si>
  <si>
    <t>make_splits.py</t>
  </si>
  <si>
    <t>03_src/scripts/make_splits.py</t>
  </si>
  <si>
    <t>Copy script make_splits.py (từ skill) vào dự án để chạy lại được độc lập</t>
  </si>
  <si>
    <t>LOG-0018</t>
  </si>
  <si>
    <t>P2 Định nghĩa bài toán</t>
  </si>
  <si>
    <t>problem_definition.md</t>
  </si>
  <si>
    <t>06_reports/problem_definition.md</t>
  </si>
  <si>
    <t>Viết problem_definition.md theo template report_templates.md: chốt loại bài toán (hồi quy), input/output, metric chính (RMSLE) + phụ (MAE, R²), tiêu chí thành công, ràng buộc phần cứng, rủi ro và giả định. Tổng hợp lại từ các DECISION đã ghi ở P0 (LOG-0003, LOG-0004, LOG-0005) và các FINDING ở P1 (FND-0001) và P3 (FND-0002).</t>
  </si>
  <si>
    <t>Theo đúng thứ tự P0-P9 của skill: P2 phải chốt bằng văn bản trước khi có bất kỳ số liệu mô hình nào</t>
  </si>
  <si>
    <t>LOG-0019</t>
  </si>
  <si>
    <t>NOTE</t>
  </si>
  <si>
    <t>Đính chính đánh số bước: dòng LOG-0016/LOG-0017 (chạy make_splits.py, copy script) được ghi với step-label 'P2 Chia train/val/test' do đánh số nhầm; đúng theo quy trình skill thì bước chia dữ liệu là P3, không phải P2. Không sửa lại các dòng cũ đó (append-only), chỉ đính chính tại đây.</t>
  </si>
  <si>
    <t>LOG-0020</t>
  </si>
  <si>
    <t>P2.5 Khám phá dữ liệu (EDA, chỉ trên train)</t>
  </si>
  <si>
    <t>Chạy EDA chỉ trên split=='train' của 01_data/splits/split_v1.csv (1022 dòng), tuân thủ nguyên tắc 'EDA chỉ trên train' của skill. Xem: phân phối SalePrice, missing (đối chiếu số liệu với audit toàn bộ), tương quan numeric, quét ngoại lai IQR, mức hạng mục hiếm.</t>
  </si>
  <si>
    <t>SalePrice train: skew=1.73 (log1p skew=0.15, xác nhận log-transform hợp lý). Missing top: PoolQC 99.4%, MiscFeature 96.0%, Alley 93.4%, Fence 80.2%, MasVnrType 59.2%, FireplaceQu 47.1% - khớp tỉ lệ với audit toàn bộ (P1), xác nhận split không lệch phân bố missing. Top tương quan: OverallQual 0.79, GrLivArea 0.69, GarageCars 0.64. 31 cột categorical có ít nhất 1 mức hiếm (&lt;10 mẫu).</t>
  </si>
  <si>
    <t>LOG-0021</t>
  </si>
  <si>
    <t>Loại 2 dòng Id=524 và Id=1299 khỏi tập train khi fit mô hình ở P4/P5 (ngoại lai đã biết của dataset, xem FND-0003). Cách điền missing cho nhóm cột 'missing có ý nghĩa' (PoolQC, MiscFeature, Alley, Fence, MasVnrType, FireplaceQu, Garage*, Bsmt*): dùng hằng số 'None' (categorical) hoặc 0 (numeric liên quan), tính từ quyết định FND-0001 - nay xác nhận lại bằng số liệu train thực tế (tỉ lệ khớp audit toàn bộ).</t>
  </si>
  <si>
    <t>Kết luận rút ra từ EDA trên train, theo nguyên tắc chỉ quyết định dựa vào train</t>
  </si>
  <si>
    <t>FND-0003,FND-0001</t>
  </si>
  <si>
    <t>LOG-0022</t>
  </si>
  <si>
    <t>eda_train_summary.md</t>
  </si>
  <si>
    <t>06_reports/eda_train_summary.md</t>
  </si>
  <si>
    <t>Tóm tắt EDA trên train + các quyết định rút ra, kèm tham chiếu log</t>
  </si>
  <si>
    <t>LOG-0023</t>
  </si>
  <si>
    <t>eda_train.py</t>
  </si>
  <si>
    <t>03_src/scripts/eda_train.py</t>
  </si>
  <si>
    <t>Script EDA (chỉ đọc split=='train'), có thể chạy lại độc lập</t>
  </si>
  <si>
    <t>LOG-0024</t>
  </si>
  <si>
    <t>VERIFY</t>
  </si>
  <si>
    <t>P1 Kiểm toán dữ liệu (bổ sung)</t>
  </si>
  <si>
    <t>Xem tận mắt 20 dòng ngẫu nhiên trong train (seed=7) theo yêu cầu cổng G1, kiểm tra quan hệ giữa OverallQual/GrLivArea/YearBuilt/GarageCars/SaleCondition với SalePrice.</t>
  </si>
  <si>
    <t>Không phát hiện nhãn bất thường/vô lý: giá tăng hợp lý theo chất lượng, diện tích, năm xây; các dòng SaleCondition='Partial'/'Family' vẫn có giá hợp lý (ngoại trừ 2 điểm đã ghi ở FND-0003, không nằm trong mẫu 20 dòng này). Gate G1 coi như đã đóng đầy đủ (đã có: manifest, missing, trùng lặp ở P1 + xem mẫu bằng mắt ở đây).</t>
  </si>
  <si>
    <t>LOG-0025</t>
  </si>
  <si>
    <t>Cập nhật skill</t>
  </si>
  <si>
    <t>Người dùng cung cấp bản skill dl-project-from-raw-data mới (file .skill upload). Đã thay thế toàn bộ /mnt/skills/plugins/dl-project-from-raw-data bằng bản mới. Thay đổi cốt lõi: quy trình mở rộng từ P0-P9 thành P0-P11, thêm bước P4 'Khám phá dữ liệu (EDA, chỉ trên train)' chính thức (trước đây mình tự đặt tạm là 'P2.5'), và đảo thứ tự: P5 Tiền xử lý giờ đứng TRƯỚC P6 Baseline (trước đây baseline P4 đứng trước tiền xử lý P5). Số hiệu cổng G3(Baseline)/G4(pipeline) giữ nguyên tên nhưng gắn với P6/P7 mới. Đã re-áp dụng lại 2 chỉnh sửa riêng của dự án này (quy ước ghi log tiếng Việt có dấu ở SKILL.md muc 7, log_schema.md, và scripts/log_change.py README_ROWS) vì bản mới người dùng cung cấp không có 2 chỉnh sửa này.</t>
  </si>
  <si>
    <t>Người dùng yêu cầu cập nhật và ghi nhớ skill mới</t>
  </si>
  <si>
    <t>LOG-0026</t>
  </si>
  <si>
    <t>Đối chiếu lại tiến độ dự án theo số P mới: P0 Khởi tạo=Done, P1 Kiểm toán=Done, P2 Định nghĩa bài toán=Done, P3 Chia dữ liệu=Done, P4 Khám phá dữ liệu (train)=Done (thực hiện ở các dòng LOG-0020,LOG-0021,FND-0003, lúc đó gắn nhầm nhãn 'P2.5'). Bước tiếp theo chính xác theo skill mới là P5 (Tiền xử lý: dùng scripts/preprocess_tabular.py fit/check), SAU ĐÓ mới tới P6 (Baseline) - đảo lại thứ tự so với thông báo trước đó của mình (đã nói nhầm là 'P4 Baseline' sẽ làm tiếp, nay đính chính lại).</t>
  </si>
  <si>
    <t>Đính chính theo cấu trúc mới của skill, không sửa các dòng log cũ</t>
  </si>
  <si>
    <t>LOG-0027</t>
  </si>
  <si>
    <t>S-20260925</t>
  </si>
  <si>
    <t>Cập nhật skill (lần 2)</t>
  </si>
  <si>
    <t>Người dùng upload lại file skill (cùng tên nhưng nội dung mới hơn bản đã cập nhật trước đó ở LOG-0025/0026). Điểm mới quan trọng: (1) Thêm script scripts/explore_tabular.py chuyên dụng cho P4 - tự tính thang đo, thống kê mô tả, ngoại lai IQR, giá trị ngoài miền hợp lệ, độ lệch phân phối, tương quan, độ liên quan với nhãn (Pearson/ANOVA), tự vẽ biểu đồ vào eda_plots/. (2) scripts/preprocess_tabular.py mở rộng thêm tùy chọn: --valid-range, --drop-missing-thresh, --select-anova-thresh/--select-corr-thresh (chọn đặc trưng), --bin (rời rạc hóa), --pca (giảm chiều). Đã thay thế toàn bộ thư mục skill và re-áp lại 2 chỉnh sửa riêng của dự án (quy ước log tiếng Việt có dấu ở SKILL.md, log_schema.md, log_change.py README_ROWS).</t>
  </si>
  <si>
    <t>Người dùng yêu cầu cập nhật bộ nhớ bằng file skill mới</t>
  </si>
  <si>
    <t>LOG-0028</t>
  </si>
  <si>
    <t>P4 (khám phá dữ liệu) của dự án này đã hoàn thành thủ công trước khi có script explore_tabular.py, kết quả và các DECISION (LOG-0020, LOG-0021, FND-0003) vẫn giữ nguyên giá trị, không cần chạy lại. Ở bước P5 (Tiền xử lý) sắp tới, sẽ tận dụng preprocess_tabular.py bản mới, đặc biệt --valid-range cho các cột có miền giá trị rõ ràng (vd YearBuilt, GarageYrBlt không được lớn hơn năm hiện tại) nếu phù hợp.</t>
  </si>
  <si>
    <t>LOG-0029</t>
  </si>
  <si>
    <t>P4 Khám phá dữ liệu (EDA)</t>
  </si>
  <si>
    <t>split_v1_selected_features.csv</t>
  </si>
  <si>
    <t>01_data/splits/split_v1_selected_features.csv</t>
  </si>
  <si>
    <t>Tạo bảng con chỉ gồm 67 đặc trưng người dùng chọn lọc theo 9 nhóm ý nghĩa nghiệp vụ (khu đất, vị trí, chất lượng nhà, móng/tầng hầm, hệ thống, diện tích, garage, đường vào, giao dịch) + Id, SalePrice, split. Loại 12 cột: Fireplaces, FireplaceQu, WoodDeckSF, OpenPorchSF, EnclosedPorch, 3SsnPorch, ScreenPorch, PoolArea, PoolQC, Fence, MiscFeature, MiscVal.</t>
  </si>
  <si>
    <t>LOG-0030</t>
  </si>
  <si>
    <t>Chạy scripts/explore_tabular.py trên split_v1_selected_features.csv (chỉ train, 1022 dòng, 67 đặc trưng), --label-col SalePrice --label-type numeric --ordinal-cols (17 cột chất lượng/thứ bậc), --valid-range cho LotFrontage/MasVnrArea/GarageYrBlt.</t>
  </si>
  <si>
    <t>28 cột số, 39 cột hạng mục. 0 giá trị ngoài miền hợp lệ. Ngoại lai IQR đáng chú ý: OverallCond 8.41%, MSSubClass 7.24%, LotFrontage 6.95%, MasVnrArea 6.7%, BsmtFinSF2 9.98% (nhưng phần lớn do phân phối lệch/rời rạc, không hẳn là lỗi). Top Pearson-vs-label (numeric, chưa log-transform): OverallQual 0.786, GrLivArea 0.689, TotalBsmtSF 0.592, GarageCars 0.642, GarageArea 0.618, 1stFlrSF 0.583. Heatmap xác nhận 3 cụm cộng tuyến: (GrLivArea, FullBath, TotRmsAbvGrd, 2ndFlrSF), (GarageCars, GarageArea), (TotalBsmtSF, BsmtUnfSF, BsmtFinSF1, 1stFlrSF).</t>
  </si>
  <si>
    <t>LOG-0031</t>
  </si>
  <si>
    <t>Vẽ 9 biểu đồ tổng hợp theo nhóm ý nghĩa nghiệp vụ (N1_KhuDat...N9_GiaoDich), mỗi ô con là scatter(numeric vs SalePrice, có hệ số Pearson) hoặc boxplot(SalePrice theo từng mức categorical, sắp theo median tăng dần). Lưu tại 06_reports/eda/eda_plots/by_group/.</t>
  </si>
  <si>
    <t>LOG-0032</t>
  </si>
  <si>
    <t>eda_group_plots.py</t>
  </si>
  <si>
    <t>03_src/scripts/eda_group_plots.py</t>
  </si>
  <si>
    <t>Script tự viết (bổ sung ngoài skill) để vẽ 9 biểu đồ theo nhóm</t>
  </si>
  <si>
    <t>LOG-0033</t>
  </si>
  <si>
    <t>Theo đề xuất người dùng, chạy explore_tabular.py trên TOÀN BỘ 79 cột gốc (01_data/splits/split_v1.csv, chỉ train) thay vì chỉ 67 cột đã chọn, để đối chiếu ngược và tránh bỏ sót đặc trưng quan trọng.</t>
  </si>
  <si>
    <t>Kết quả 67 cột đã chọn khớp 100% với lần chạy trước. Phát hiện quan trọng ở nhóm 12 cột đã loại: Fireplaces (corr=0.46) và FireplaceQu (eta2=0.302) có tín hiệu MẠNH - cao hơn nhiều cột đang được giữ (vd BldgType eta2=0.048, Electrical eta2=0.079). WoodDeckSF (0.328) và OpenPorchSF (0.315) cũng ở mức trung bình-khá, tương đương HalfBath (0.278) đang được giữ. Ngược lại EnclosedPorch (-0.146), 3SsnPorch (0.062), ScreenPorch (0.143), PoolArea (0.127), MiscVal (-0.015), PoolQC (eta2=0.013), Fence (eta2=0.04), MiscFeature (eta2=0.009) đều xác nhận yếu, loại là hợp lý.</t>
  </si>
  <si>
    <t>LOG-0034</t>
  </si>
  <si>
    <t>Chốt danh sách đặc trưng cuối cùng: 67 cột ban đầu + 4 cột thêm lại (Fireplaces, FireplaceQu vào nhóm 3 - Chất lượng nhà; WoodDeckSF, OpenPorchSF vào nhóm 6 - Diện tích sinh hoạt) = 71 cột. Loại hẳn 8 cột còn lại (EnclosedPorch, 3SsnPorch, ScreenPorch, PoolArea, PoolQC, Fence, MiscFeature, MiscVal) do tín hiệu quá yếu (xem FND-0004).</t>
  </si>
  <si>
    <t>Người dùng đồng ý sau khi xem bằng chứng đối chiếu EDA toàn bộ 79 cột</t>
  </si>
  <si>
    <t>FND-0004</t>
  </si>
  <si>
    <t>LOG-0035</t>
  </si>
  <si>
    <t>MODIFY</t>
  </si>
  <si>
    <t>Cập nhật bảng đặc trưng đã chọn từ 67 lên 71 cột: thêm Fireplaces, FireplaceQu (nhóm 3), WoodDeckSF, OpenPorchSF (nhóm 6) theo DECISION LOG-0034.</t>
  </si>
  <si>
    <t>LOG-0036</t>
  </si>
  <si>
    <t>Chạy lại explore_tabular.py và vẽ lại 2 biểu đồ nhóm (N3, N6) trên bảng 71 cột đã cập nhật.</t>
  </si>
  <si>
    <t>FireplaceQu cho bậc thang tăng dần rõ theo chất lượng (Po den Ex). WoodDeckSF/OpenPorchSF phân tán nhưng có xu hướng dương rõ. Xác nhận quyết định thêm lại là hợp lý.</t>
  </si>
  <si>
    <t>LOG-0037</t>
  </si>
  <si>
    <t>explore_tabular.py</t>
  </si>
  <si>
    <t>03_src/scripts/explore_tabular.py</t>
  </si>
  <si>
    <t>Copy script explore_tabular.py (từ skill) vào dự án để chạy lại được độc lập, dùng cho cả 06_reports/eda và 06_reports/eda_full</t>
  </si>
  <si>
    <t>LOG-0038</t>
  </si>
  <si>
    <t>select_features.py</t>
  </si>
  <si>
    <t>03_src/scripts/select_features.py</t>
  </si>
  <si>
    <t>Lưu code lọc 71 đặc trưng đã chọn (trước đó chỉ chạy tay, chưa lưu file) thành script chạy lại được: đọc 01_data/splits/split_v1.csv, xuất 01_data/splits/split_v1_selected_features.csv.</t>
  </si>
  <si>
    <t>Chạy lại, so sánh SHA256/MD5 với file hiện có: khớp 100% (6143aaca63ab186570c0c59c30c76f96).</t>
  </si>
  <si>
    <t>LOG-0039</t>
  </si>
  <si>
    <t>S-20260926</t>
  </si>
  <si>
    <t>P5 Tiền xử lý</t>
  </si>
  <si>
    <t>encode_business_rules.py</t>
  </si>
  <si>
    <t>03_src/scripts/encode_business_rules.py</t>
  </si>
  <si>
    <t>Script áp quy tắc nghiệp vụ cố định (không học từ dữ liệu, áp đồng nhất train/val/test): mã hóa Ordinal cho 18 cột chất lượng/thứ bậc theo đúng thứ tự (NA=hạng 0 cho cột có thể 'không có đặc điểm'); điền 0 cho MasVnrArea, GarageYrBlt khi thiếu (missing có ý nghĩa, FND-0001); loại 2 dòng ngoại lai Id=524,1299 (FND-0003).</t>
  </si>
  <si>
    <t>LOG-0040</t>
  </si>
  <si>
    <t>Chạy encode_business_rules.py rồi preprocess_tabular.py fit trên 01_data/splits/split_v1_prepped.csv (--label-col SalePrice --impute median --scaler standard --valid-range LotFrontage:0:None --dedup-train).</t>
  </si>
  <si>
    <t>Kết quả: 1020 dòng train (loại 0 trùng), 219 val, 219 test. 49 cột số + 22 cột hạng mục (đúng = 71 - 18 ordinal đã thành số). Tổng sau one-hot: 205 đặc trưng. LotFrontage: 0 giá trị ngoài miền. Cảnh báo (không phải lỗi): val/test có vài mức hạng mục hiếm chưa xuất hiện ở train (RoofMatl='Roll', Exterior1st='Stone', Electrical='Mix') -&gt; tự động mã hóa thành vector 0 (handle_unknown='ignore'), đúng hành vi mong đợi.</t>
  </si>
  <si>
    <t>LOG-0041</t>
  </si>
  <si>
    <t>Chạy preprocess_tabular.py check để xác nhận bộ tiền xử lý chỉ học từ train, không rò rỉ.</t>
  </si>
  <si>
    <t>Kết quả: KIỂM CHỨNG: PASSED</t>
  </si>
  <si>
    <t>LOG-0042</t>
  </si>
  <si>
    <t>preprocess_tabular.py</t>
  </si>
  <si>
    <t>03_src/scripts/preprocess_tabular.py</t>
  </si>
  <si>
    <t>Copy script preprocess_tabular.py (từ skill) vào dự án - script này đã tạo ra thư mục 01_data/processed/ ở bước P5, chạy lại được độc lập</t>
  </si>
  <si>
    <t>LOG-0043</t>
  </si>
  <si>
    <t>Rà soát quy tắc copy script</t>
  </si>
  <si>
    <t>scaffold_project.py</t>
  </si>
  <si>
    <t>03_src/scripts/scaffold_project.py</t>
  </si>
  <si>
    <t>Rà soát lại toàn bộ project theo quy tắc mới (mọi file do script tạo ra phải có script kèm theo), phát hiện thiếu scaffold_project.py (đã tạo cấu trúc thư mục, README.md, requirements.txt, change_log.xlsx ban đầu ở P0) và log_change.py (đã tạo/ghi toàn bộ change_log.xlsx từ đầu tới giờ). Copy bù cả 2 vào 03_src/scripts/.</t>
  </si>
  <si>
    <t>LOG-0044</t>
  </si>
  <si>
    <t>log_change.py</t>
  </si>
  <si>
    <t>03_src/scripts/log_change.py</t>
  </si>
  <si>
    <t>Copy bù log_change.py (script tạo/ghi toàn bộ change_log.xlsx)</t>
  </si>
  <si>
    <t>LOG-0045</t>
  </si>
  <si>
    <t>Sắp xếp lại 03_src/scripts</t>
  </si>
  <si>
    <t>Di chuyển vào thư mục 'chung' vì dùng xuyên suốt mọi bước, không riêng bước nào</t>
  </si>
  <si>
    <t>03_src/scripts/chung/log_change.py</t>
  </si>
  <si>
    <t>LOG-0046</t>
  </si>
  <si>
    <t>Di chuyển vào thư mục p0_khoi_tao</t>
  </si>
  <si>
    <t>03_src/scripts/p0_khoi_tao/scaffold_project.py</t>
  </si>
  <si>
    <t>LOG-0047</t>
  </si>
  <si>
    <t>Di chuyển vào thư mục p1_kiem_toan_du_lieu</t>
  </si>
  <si>
    <t>03_src/scripts/p1_kiem_toan_du_lieu/audit_dataset.py</t>
  </si>
  <si>
    <t>LOG-0048</t>
  </si>
  <si>
    <t>Di chuyển vào thư mục p3_chia_du_lieu</t>
  </si>
  <si>
    <t>03_src/scripts/p3_chia_du_lieu/make_splits.py</t>
  </si>
  <si>
    <t>LOG-0049</t>
  </si>
  <si>
    <t>Di chuyển vào thư mục p4_kham_pha_du_lieu</t>
  </si>
  <si>
    <t>03_src/scripts/p4_kham_pha_du_lieu/eda_train.py</t>
  </si>
  <si>
    <t>LOG-0050</t>
  </si>
  <si>
    <t>03_src/scripts/p4_kham_pha_du_lieu/select_features.py</t>
  </si>
  <si>
    <t>LOG-0051</t>
  </si>
  <si>
    <t>03_src/scripts/p4_kham_pha_du_lieu/explore_tabular.py</t>
  </si>
  <si>
    <t>LOG-0052</t>
  </si>
  <si>
    <t>03_src/scripts/p4_kham_pha_du_lieu/eda_group_plots.py</t>
  </si>
  <si>
    <t>LOG-0053</t>
  </si>
  <si>
    <t>Di chuyển vào thư mục p5_tien_xu_ly</t>
  </si>
  <si>
    <t>03_src/scripts/p5_tien_xu_ly/encode_business_rules.py</t>
  </si>
  <si>
    <t>LOG-0054</t>
  </si>
  <si>
    <t>03_src/scripts/p5_tien_xu_ly/preprocess_tabular.py</t>
  </si>
  <si>
    <t>LOG-0055</t>
  </si>
  <si>
    <t>README.md</t>
  </si>
  <si>
    <t>Thêm sơ đồ cấu trúc 03_src/scripts/ mới (theo bước) vào README.md</t>
  </si>
  <si>
    <t>LOG-0056</t>
  </si>
  <si>
    <t>Sửa script tự tạo thư mục 06_reports/eda/eda_plots/by_group/ bằng os.makedirs(exist_ok=True), không cần mkdir tay trước khi chạy nữa</t>
  </si>
  <si>
    <t>LOG-0057</t>
  </si>
  <si>
    <t>quy_trinh_chay_lai.md</t>
  </si>
  <si>
    <t>06_reports/quy_trinh_chay_lai.md</t>
  </si>
  <si>
    <t>Tạo/cập nhật tài liệu quy trình chạy lại toàn bộ pipeline (người dùng cung cấp bản nháp, mình cập nhật đường dẫn theo cấu trúc thư mục mới, hoàn thiện Bước 8/9 còn thiếu tiêu đề, thêm Bước 10 (kiểm chứng check) còn thiếu).</t>
  </si>
  <si>
    <t>LOG-0058</t>
  </si>
  <si>
    <t>P6 Baseline</t>
  </si>
  <si>
    <t>baseline.py</t>
  </si>
  <si>
    <t>03_src/scripts/p6_baseline/baseline.py</t>
  </si>
  <si>
    <t>Script baseline: (1) hằng số=trung bình train, (2) XGBoost cổ điển trên 205 đặc trưng đã tiền xử lý ở P5. Đánh giá bằng RMSLE trên val (test còn khóa).</t>
  </si>
  <si>
    <t>LOG-0059</t>
  </si>
  <si>
    <t>linear_regression_baseline.py</t>
  </si>
  <si>
    <t>03_src/scripts/p6_baseline/linear_regression_baseline.py</t>
  </si>
  <si>
    <t>Script Linear Regression (không regularization) trên 205 đặc trưng đã tiền xử lý, xuất bảng hệ số đầy đủ.</t>
  </si>
  <si>
    <t>LOG-0060</t>
  </si>
  <si>
    <t>ridge_baseline.py</t>
  </si>
  <si>
    <t>03_src/scripts/p6_baseline/ridge_baseline.py</t>
  </si>
  <si>
    <t>Script RidgeCV (L2, tự chọn alpha bằng CV trên train) để có bảng hệ số ổn định, đáng tin cậy hơn Linear Regression thường.</t>
  </si>
  <si>
    <t>LOG-0061</t>
  </si>
  <si>
    <t>P7 Môi trường/pipeline (bỏ qua có lý do)</t>
  </si>
  <si>
    <t>P7 theo SKILL.md là bước dành cho Deep Learning (kiểm tra torch/GPU, viet theo pytorch_skeleton.md, cong G4 overfit-1-batch). Du an nay da chot khong dung DL tu P0 nen P7 khong ap dung. Muc tieu tuong duong (dam bao pipeline chay dung) da duoc thoa man qua: P0 (moi truong da test chay), P5 (preprocess_tabular.py check = PASSED), P6 (4 baseline chay end-to-end thanh cong, khong loi).</t>
  </si>
  <si>
    <t>Tranh bo sot buoc ma khong giai thich; ghi ro ly do bo qua thay vi im lang</t>
  </si>
  <si>
    <t>LOG-0062</t>
  </si>
  <si>
    <t>P8 Vòng thí nghiệm</t>
  </si>
  <si>
    <t>exp005_xgb_tuning.py</t>
  </si>
  <si>
    <t>03_src/scripts/p8_thi_nghiem/exp005_xgb_tuning.py</t>
  </si>
  <si>
    <t>Script RandomizedSearchCV (60 iter, 5-fold CV trên train) tìm siêu tham số XGBoost tốt hơn.</t>
  </si>
  <si>
    <t>LOG-0063</t>
  </si>
  <si>
    <t>P9 Đánh giá cuối</t>
  </si>
  <si>
    <t>Chốt mô hình cuối cùng: Ridge Regression (alpha=30, EXP-0004), fit trên log1p(SalePrice), 205 đặc trưng sau P5. KHÔNG chọn Linear Regression (EXP-0003) dù RMSLE val nhỉnh hơn chút (0.1143 vs 0.1155) vì bảng hệ số của EXP-0003 không ổn định (bị vài mẫu hạng mục hiếm chi phối) - rủi ro suy rộng kém ra dữ liệu mới cao hơn. Ridge (co regularization, alpha chon bang CV tren train) an toan va dang tin cay hon. Vi Ridge la mo hinh tat dinh (khong co seed ngau nhien anh huong ket qua) nen thay vi chay &gt;=3 seed tren val nhu checklist goi y cho mo hinh ngau nhien, se dung Bootstrap CI (&gt;=1000 lan resample) tren val de uoc luong do on dinh cua RMSLE truoc khi mo test.</t>
  </si>
  <si>
    <t>Theo yêu cầu bắt buộc của cổng G7: phải chốt cấu hình và ghi DECISION TRƯỚC khi mở test lần đầu</t>
  </si>
  <si>
    <t>LOG-0064</t>
  </si>
  <si>
    <t>Sap mo test lan dau (Id trong 01_data/splits/split_v1.csv, split=='test', 219 dong, chua bao gio duoc doc/tinh metric tu truoc den nay trong du an nay).</t>
  </si>
  <si>
    <t>Ghi truoc khi mo, dung quy dinh cong G7: 'tu day khong ai mo/tinh metric tren test cho den G7'</t>
  </si>
  <si>
    <t>LOG-0065</t>
  </si>
  <si>
    <t>final_eval.py</t>
  </si>
  <si>
    <t>Chạy final_eval.py: (1) Bootstrap CI (1000 lần) trên val cho Ridge(alpha=30); (2) MỞ TEST, chạy đúng 1 lần.</t>
  </si>
  <si>
    <t>VAL: RMSLE=0.1155 (bootstrap mean=0.1148, 95% CI=[0.089, 0.145]). TEST (219 dòng, mở đúng 1 lần): RMSLE=0.1301 (bootstrap mean=0.1274, 95% CI=[0.099, 0.159]), MAE=$14,280, R2=0.943. Test kém hơn val một chút (0.1301 vs 0.1155) nhưng nằm trong khoảng CI chồng lấp - không có dấu hiệu overfit nghiêm trọng lên val qua nhiều thí nghiệm.</t>
  </si>
  <si>
    <t>LOG-0066</t>
  </si>
  <si>
    <t>03_src/scripts/p9_danh_gia_cuoi/final_eval.py</t>
  </si>
  <si>
    <t>Script đánh giá cuối: bootstrap CI trên val, mở test đúng 1 lần, lưu chi tiết dự đoán để phân tích lỗi.</t>
  </si>
  <si>
    <t>LOG-0067</t>
  </si>
  <si>
    <t>final_report.md</t>
  </si>
  <si>
    <t>06_reports/final_report.md</t>
  </si>
  <si>
    <t>Viết final_report.md theo template report_templates.md: tóm tắt, dữ liệu, EDA, tiền xử lý, bảng baseline/thí nghiệm, mô hình cuối + kết quả test (bootstrap CI), phân tích lỗi, hạn chế, cách chạy lại, nhật ký, bảng đã chạy thật vs chưa chạy.</t>
  </si>
  <si>
    <t>LOG-0068</t>
  </si>
  <si>
    <t>P10 Đóng gói</t>
  </si>
  <si>
    <t>save_final_model.py</t>
  </si>
  <si>
    <t>03_src/scripts/p10_dong_goi/save_final_model.py</t>
  </si>
  <si>
    <t>Lưu checkpoint mô hình cuối (Ridge alpha=30) thành final_model_ridge.joblib kèm metadata (config, seed, hash dữ liệu train, feature names).</t>
  </si>
  <si>
    <t>LOG-0069</t>
  </si>
  <si>
    <t>predict_from_raw.py</t>
  </si>
  <si>
    <t>03_src/scripts/p10_dong_goi/predict_from_raw.py</t>
  </si>
  <si>
    <t>Script suy luận độc lập: nhận CSV thô (schema 00_raw/train.csv), tự chạy select_features + encode_business_rules + preprocessor.joblib + final_model_ridge.joblib, ra SalePrice dự đoán.</t>
  </si>
  <si>
    <t>LOG-0070</t>
  </si>
  <si>
    <t>Kiểm chứng G8: (1) Chạy predict_from_raw.py trên 5 mẫu thô (Id=1,7,191,496,886) chưa qua pipeline train - kết quả khớp chính xác với số liệu đã có ở phân tích lỗi val P9. (2) Chạy lại TOÀN BỘ pipeline từ select_features -&gt; encode_business_rules -&gt; preprocess_tabular fit -&gt; Ridge, RMSLE val tái lập = 0.115459, khớp CHÍNH XÁC (dung sai 0, vì Ridge tất định) với báo cáo ở EXP-0004/final_report.md.</t>
  </si>
  <si>
    <t>LOG-0071</t>
  </si>
  <si>
    <t>model_card.md</t>
  </si>
  <si>
    <t>06_reports/model_card.md</t>
  </si>
  <si>
    <t>Viết model_card.md theo template: mục đích/ngoài phạm vi, dữ liệu, đặc trưng+tiền xử lý bắt buộc, metric, hạn chế, rủi ro, phiên bản/người chịu trách nhiệm.</t>
  </si>
  <si>
    <t>LOG-0072</t>
  </si>
  <si>
    <t>P11 Báo cáo và giao</t>
  </si>
  <si>
    <t>Chạy recalc.py xác nhận total_errors=0. Nén toàn bộ dự án (trừ 00_raw - người dùng đã có, 456KB) thành house_price_ml_FINAL.zip (3.5MB, bao gồm cả checkpoint 01_data/processed 2.3MB - không loại vì kích thước nhỏ). Chép riêng change_log.xlsx và final_report.md.</t>
  </si>
  <si>
    <t>LOG-0073</t>
  </si>
  <si>
    <t>Viết lại toàn bộ quy_trinh_chay_lai.md, bổ sung đầy đủ từ Bước 11 đến Bước 18 (trước đó chỉ có tới Bước 10/P5): baseline (XGBoost, Linear, Ridge), tuning XGBoost (P8), đánh giá cuối trên val rồi mở test (P9), lưu checkpoint và suy luận độc lập (P10). Tổng cộng 18 bước, khớp với mọi script trong 03_src/scripts/.</t>
  </si>
  <si>
    <t>LOG-0074</t>
  </si>
  <si>
    <t>S-20260927</t>
  </si>
  <si>
    <t>make_paper.js</t>
  </si>
  <si>
    <t>03_src/scripts/p10_dong_goi/make_paper.js</t>
  </si>
  <si>
    <t>Script docx-js tạo Paper_HouseSalePrice.docx (bài báo học thuật 4 trang: Tóm tắt, Giới thiệu, Đối tượng và phương pháp, Thí nghiệm và kết quả, Kết luận, Tài liệu tham khảo), theo mẫu định dạng người dùng cung cấp (titanic_demo.zip).</t>
  </si>
  <si>
    <t>LOG-0075</t>
  </si>
  <si>
    <t>poster.html</t>
  </si>
  <si>
    <t>06_reports/deliverables/poster.html</t>
  </si>
  <si>
    <t>Poster học thuật 1 trang (bố cục 3 cột, theo phong cách mẫu titanic_demo.zip), render PDF bằng wkhtmltopdf.</t>
  </si>
  <si>
    <t>LOG-0076</t>
  </si>
  <si>
    <t>make_slides.js</t>
  </si>
  <si>
    <t>03_src/scripts/p10_dong_goi/make_slides.js</t>
  </si>
  <si>
    <t>Script pptxgenjs tạo Slide_HouseSalePrice.pptx (11 slide: title, agenda, giới thiệu, dữ liệu, EDA, lựa chọn đặc trưng, tiền xử lý, mô hình, kết quả test, phân tích lỗi, kết luận). Đã validate PASSED.</t>
  </si>
  <si>
    <t>Finding_ID</t>
  </si>
  <si>
    <t>Ngày</t>
  </si>
  <si>
    <t>Nhóm</t>
  </si>
  <si>
    <t>Vị_trí</t>
  </si>
  <si>
    <t>Mô_tả</t>
  </si>
  <si>
    <t>Bằng_chứng</t>
  </si>
  <si>
    <t>Cách_sửa_đề_xuất</t>
  </si>
  <si>
    <t>Log_ID_liên_quan</t>
  </si>
  <si>
    <t>FND-0001</t>
  </si>
  <si>
    <t>Medium</t>
  </si>
  <si>
    <t>Missing data</t>
  </si>
  <si>
    <t>00_raw/train.csv</t>
  </si>
  <si>
    <t>19 cột có giá trị thiếu. Đã đối chiếu với data_description của dataset Ames Housing: hầu hết là 'missing có ý nghĩa' (nhà không có đặc điểm đó), VD PoolQC/Fence/Alley/MiscFeature/FireplaceQu/Garage*/Bsmt* thiếu vì nhà không có hồ bơi/hàng rào/garage/tầng hầm.</t>
  </si>
  <si>
    <t>01_data/audit/data_report.md; PoolQC thiếu 1453/1460 (99.5%), MiscFeature 1406 (96.3%), Alley 1369 (93.8%)</t>
  </si>
  <si>
    <t>P3 sẽ impute các cột này bằng giá trị hằng số 'None' (categorical) hoặc 0 (numeric liên quan tới đặc điểm không tồn tại, VD MasVnrArea), KHÔNG dùng median/mode mặc định cho nhóm này. [Đã áp dụng ở P5 - encode_business_rules.py, LOG-0039]</t>
  </si>
  <si>
    <t>FND-0002</t>
  </si>
  <si>
    <t>Low</t>
  </si>
  <si>
    <t>Chia dữ liệu</t>
  </si>
  <si>
    <t>01_data/splits/split_v1_summary.json</t>
  </si>
  <si>
    <t>Trường 'strategy' trong summary.json ghi 'stratified' dù thực tế script đã cảnh báo và chuyển sang chia ngẫu nhiên (fallback) vì SalePrice là hồi quy liên tục, không phải nhãn phân loại. Đây là hạn chế hiển thị của script make_splits.py (thiết kế chính cho bài toán phân loại), không phải lỗi của kết quả chia.</t>
  </si>
  <si>
    <t>Log console: 'CANH BAO: stratify that bai ... dung chia ngau nhien'</t>
  </si>
  <si>
    <t>Không cần sửa vì với hồi quy, chia ngẫu nhiên (có seed cố định) là hợp lý; chỉ cần ghi chú lại để không hiểu nhầm là đã stratify theo khoảng giá.</t>
  </si>
  <si>
    <t>Wontfix</t>
  </si>
  <si>
    <t>FND-0003</t>
  </si>
  <si>
    <t>High</t>
  </si>
  <si>
    <t>Ngoại lai / lỗi dữ liệu</t>
  </si>
  <si>
    <t>01_data/splits/split_v1.csv</t>
  </si>
  <si>
    <t>Id=524, Id=1299</t>
  </si>
  <si>
    <t>2 căn nhà có GrLivArea rất lớn (4676 và 5642 sqft) và OverallQual=10 nhưng SalePrice lại RẤT THẤP (184750 và 160000) - thấp hơn nhiều nhà nhỏ hơn nhiều. Cả 2 đều có SaleCondition='Partial' (nhà bán khi CHƯA hoàn thiện/xây xong). Đây là lỗi/ngoại lai đã được chính tác giả dataset (Dean De Cock) ghi nhận công khai, khuyến nghị loại khỏi tập train. Có 1 điểm thứ 3 (Id=1183, GrLivArea=4476, SalePrice=745000, SaleCondition='Abnorml') là giá cao nhất trong toàn bộ dữ liệu - đây là điểm HỢP LỆ (không phải lỗi), không loại.</t>
  </si>
  <si>
    <t>02_notebooks/eda_train.png (scatter GrLivArea vs SalePrice); bảng chi tiết 3 dòng GrLivArea&gt;4000 trong train</t>
  </si>
  <si>
    <t>DECISION: loại 2 dòng Id=524 và Id=1299 khỏi TRAIN khi huấn luyện baseline/mô hình (P4/P5). KHÔNG loại khỏi val/test (val/test không có 2 Id này vì đều rơi vào train ở split_v1, nhưng nguyên tắc chung: ngoại lai chỉ loại ở train). Giữ nguyên Id=1183 vì là giá trị hợp lệ, không phải lỗi. [Đã áp dụng ở P5 - encode_business_rules.py, LOG-0039]</t>
  </si>
  <si>
    <t>Chọn đặc trưng</t>
  </si>
  <si>
    <t>06_reports/eda_full/eda_report.md</t>
  </si>
  <si>
    <t>Trong 12 cột người dùng loại ban đầu (nhóm 'extras'), 3-4 cột thực ra có tín hiệu đáng kể với SalePrice: Fireplaces (corr=0.46), FireplaceQu (eta2=0.302), WoodDeckSF (corr=0.328), OpenPorchSF (corr=0.315). Đây là bằng chứng số liệu (chỉ từ train) nên cân nhắc thêm lại các cột này.</t>
  </si>
  <si>
    <t>06_reports/eda_full/eda_report.md, mục 'Độ liên quan với biến mục tiêu'</t>
  </si>
  <si>
    <t>Đề xuất: thêm Fireplaces + FireplaceQu (nhóm 3 Chất lượng nhà) và WoodDeckSF + OpenPorchSF (nhóm 6 Diện tích) vào danh sách giữ lại; giữ nguyên loại 8 cột còn lại (EnclosedPorch, 3SsnPorch, ScreenPorch, PoolArea, PoolQC, Fence, MiscFeature, MiscVal). [Đã thực hiện - xem LOG-0034]</t>
  </si>
  <si>
    <t>FND-0005</t>
  </si>
  <si>
    <t>Đã thêm lại 4 cột này vào danh sách giữ (xem LOG tiếp theo).</t>
  </si>
  <si>
    <t>FND-0006</t>
  </si>
  <si>
    <t>Phân tích lỗi</t>
  </si>
  <si>
    <t>05_experiments/exp0004_val_predictions.csv</t>
  </si>
  <si>
    <t>Phân tích lỗi trên VAL (không dùng test): 6/10 dòng có sai số tuyệt đối lớn nhất đều có SaleCondition khác 'Normal' (Abnorml: bán gấp/khó khăn tài chính; Partial: nhà mới xây bán trực tiếp). Case cực đoan: Id=496, SalePrice=$34,900 (rẻ nhất toàn dataset, SaleCondition=Abnorml, chỉ 720 sqft) bị dự đoán lệch 131%.</t>
  </si>
  <si>
    <t>05_experiments/exp0004_val_predictions.csv, đối chiếu Neighborhood/OverallQual/SaleCondition</t>
  </si>
  <si>
    <t>Hướng cải thiện tiềm năng cho vòng thí nghiệm sau: thêm interaction feature giữa SaleCondition và các đặc trưng chính, hoặc huấn luyện mô hình riêng/điều chỉnh cho phân khúc SaleCondition != Normal. Không sửa ngay vì test đã đóng, đây chỉ là ghi nhận cho báo cáo cuối.</t>
  </si>
  <si>
    <t>Open</t>
  </si>
  <si>
    <t>Loại</t>
  </si>
  <si>
    <t>Kích_thước_byte</t>
  </si>
  <si>
    <t>SHA256</t>
  </si>
  <si>
    <t>Vai_trò</t>
  </si>
  <si>
    <t>Ngày_đăng_ký</t>
  </si>
  <si>
    <t>Log_ID_đăng_ký</t>
  </si>
  <si>
    <t>csv</t>
  </si>
  <si>
    <t>1e18addf81e5e4d347cc17ee6075bbe4a42b7fa26b9e5b063e8f692a5f929d41</t>
  </si>
  <si>
    <t>raw dataset (Ames Housing, Kaggle House Prices)</t>
  </si>
  <si>
    <t>txt</t>
  </si>
  <si>
    <t>1529842f18f3fc9ddc13f8a29f9fea308b93c99ae341d224cb35f419f9b5ba4c</t>
  </si>
  <si>
    <t>pinned deps for ML pipeline</t>
  </si>
  <si>
    <t>sh</t>
  </si>
  <si>
    <t>0ec14ff51fe75452e37d68a2f7f5d6b9b310104f03c4c73bddc63947f123317d</t>
  </si>
  <si>
    <t>venv setup script (Linux/macOS)</t>
  </si>
  <si>
    <t>bat</t>
  </si>
  <si>
    <t>6a3e68f17fb0c3ee20f0bf5c49390905563b41f881ed652f9db93ac322d5fbf2</t>
  </si>
  <si>
    <t>venv setup script (Windows)</t>
  </si>
  <si>
    <t>01_data/audit/manifest.csv</t>
  </si>
  <si>
    <t>0661f403d0fa6217d8fa3cb3e36863a973ee618dd8ba55c72c1f639c7b859efa</t>
  </si>
  <si>
    <t>audit manifest</t>
  </si>
  <si>
    <t>01_data/audit/audit.json</t>
  </si>
  <si>
    <t>json</t>
  </si>
  <si>
    <t>7875412bf87b767417431ff68b3b1c458b7dd8265b0967eeb4e0dc0b2eeb8f1f</t>
  </si>
  <si>
    <t>audit metrics (machine-readable) + dataset fingerprint</t>
  </si>
  <si>
    <t>01_data/audit/data_report.md</t>
  </si>
  <si>
    <t>md</t>
  </si>
  <si>
    <t>300a7b77f9a00aaeabe1c47b6a77c50f58c9f41bd879a1c9171af8b99d5d174e</t>
  </si>
  <si>
    <t>audit report (Vietnamese)</t>
  </si>
  <si>
    <t>py</t>
  </si>
  <si>
    <t>651e87e1e34d9b889dcf31bbb469577af64f919349a92be19a763f8db2889268</t>
  </si>
  <si>
    <t>script kiem toan du lieu (P1)</t>
  </si>
  <si>
    <t>a7efd8bd0070df62801eafc5d8e213858f8ca7d8851dafd4d7115d480b886448</t>
  </si>
  <si>
    <t>bảng đã gán cột split (train/val/test)</t>
  </si>
  <si>
    <t>4e71c3bc4a19ceee2c9bc213bc10aaa7b5c652b8fa88962dd5a37090f0f128d4</t>
  </si>
  <si>
    <t>thống kê + fingerprint của lần chia split v1</t>
  </si>
  <si>
    <t>eed3ee2f3aa1f8def8944cade841ad0f0a65603832f2ce3a3bcf3410f60da9b7</t>
  </si>
  <si>
    <t>script chia train/val/test (P2)</t>
  </si>
  <si>
    <t>61a88c960eeb23174f2879c0d3d7bfbc1c25cb58cd6371753c4fde22af5327aa</t>
  </si>
  <si>
    <t>định nghĩa bài toán, metric, ràng buộc (P2)</t>
  </si>
  <si>
    <t>02_notebooks/eda_train.png</t>
  </si>
  <si>
    <t>png</t>
  </si>
  <si>
    <t>90a6c5317dc2349675bdb1d1801f76467908513c0ad627b7157dbf6bcb603f03</t>
  </si>
  <si>
    <t>biểu đồ EDA (chỉ train): phân phối SalePrice, GrLivArea vs SalePrice, top tương quan</t>
  </si>
  <si>
    <t>e45edd39598404486ff8765bedde8eb36d86c3a74629765310d46e6197f24b57</t>
  </si>
  <si>
    <t>báo cáo tóm tắt EDA train</t>
  </si>
  <si>
    <t>1be7990116f99f9bd87efbf9f313721eb28cb2435ae6838db42cb11808a6bfb2</t>
  </si>
  <si>
    <t>script EDA (chỉ train)</t>
  </si>
  <si>
    <t>06_reports/eda/eda_report.md</t>
  </si>
  <si>
    <t>0cfd619f752c91e02c96e78d2a4e03fd947661986dcc4e19029d27c4006b05c5</t>
  </si>
  <si>
    <t>báo cáo EDA cập nhật trên 71 cột (bản mới nhất, ghi đè bản 67 cột)</t>
  </si>
  <si>
    <t>06_reports/eda/eda.json</t>
  </si>
  <si>
    <t>7673421343082d3c34fed7dd0fe44f2245431094a129fe4c90c17294ab2477cb</t>
  </si>
  <si>
    <t>số liệu EDA dạng máy đọc</t>
  </si>
  <si>
    <t>06_reports/eda/eda_plots/correlation_heatmap.png</t>
  </si>
  <si>
    <t>3f5f9c74b62e31998a215d33b9b0adde52fdfe5afbff94eb932ebc246aa73520</t>
  </si>
  <si>
    <t>heatmap tương quan 28 cột số (đại diện cho 30 file trong eda_plots/)</t>
  </si>
  <si>
    <t>06_reports/eda/eda_plots/by_group/N1_KhuDat.png</t>
  </si>
  <si>
    <t>0f89df917b99bf9c3b9fbe1637c80e93128857dcdc6d01044655885fe30108b6</t>
  </si>
  <si>
    <t>biểu đồ quan hệ với SalePrice - nhóm N1_KhuDat</t>
  </si>
  <si>
    <t>06_reports/eda/eda_plots/by_group/N2_ViTri.png</t>
  </si>
  <si>
    <t>777b6a8d21d058930d17b7dfd0180b2544348f21f87f3108d566ab67fad2711e</t>
  </si>
  <si>
    <t>biểu đồ quan hệ với SalePrice - nhóm N2_ViTri</t>
  </si>
  <si>
    <t>06_reports/eda/eda_plots/by_group/N3_ChatLuongNha.png</t>
  </si>
  <si>
    <t>f9fb7ea094372d691e63d1523ff4e49cfe8203b401b7d13bb3dc7dd79ff8a818</t>
  </si>
  <si>
    <t>cập nhật: thêm Fireplaces/FireplaceQu</t>
  </si>
  <si>
    <t>06_reports/eda/eda_plots/by_group/N4_MongTangHam.png</t>
  </si>
  <si>
    <t>6a4275f39cb430a6a3808f613823a127d183a5f66dc6189fc17c70527dbfee22</t>
  </si>
  <si>
    <t>biểu đồ quan hệ với SalePrice - nhóm N4_MongTangHam</t>
  </si>
  <si>
    <t>06_reports/eda/eda_plots/by_group/N5_HeThong.png</t>
  </si>
  <si>
    <t>ca55ec7afe0d90692548531b0322c5cfb0da3f021f6f1823d7575d1be72e0651</t>
  </si>
  <si>
    <t>biểu đồ quan hệ với SalePrice - nhóm N5_HeThong</t>
  </si>
  <si>
    <t>06_reports/eda/eda_plots/by_group/N6_DienTichSinhHoat.png</t>
  </si>
  <si>
    <t>5f622d6b3107b6ed41e660ed64812557f7f72c1aa90f7cb359999af31d9d96a3</t>
  </si>
  <si>
    <t>cập nhật: thêm WoodDeckSF/OpenPorchSF</t>
  </si>
  <si>
    <t>06_reports/eda/eda_plots/by_group/N7_Garage.png</t>
  </si>
  <si>
    <t>852e464147262b85ce9955dc331cf800db60a04e34771e554c8b4cc10db08849</t>
  </si>
  <si>
    <t>biểu đồ quan hệ với SalePrice - nhóm N7_Garage</t>
  </si>
  <si>
    <t>06_reports/eda/eda_plots/by_group/N8_DuongVao.png</t>
  </si>
  <si>
    <t>eeef2fce42ca349d7ab57e6ca393a2ecad59248598b7a8d235076967a45de4ef</t>
  </si>
  <si>
    <t>biểu đồ quan hệ với SalePrice - nhóm N8_DuongVao</t>
  </si>
  <si>
    <t>06_reports/eda/eda_plots/by_group/N9_GiaoDich.png</t>
  </si>
  <si>
    <t>c104ff353a9c2eed16eadf17e9094d2dc62891e317e7a95e7c6970ae5c05cfb2</t>
  </si>
  <si>
    <t>biểu đồ quan hệ với SalePrice - nhóm N9_GiaoDich</t>
  </si>
  <si>
    <t>34212d902e49d0fd1db08cdae1e8d5e3f56a856b47f23c3d5423c349070bfa0f</t>
  </si>
  <si>
    <t>script vẽ biểu đồ EDA theo nhóm</t>
  </si>
  <si>
    <t>3f5ae97f4b679c7d5896f7a2afc77ebfa423c4fec3b46efce8369df2dbf477ae</t>
  </si>
  <si>
    <t>báo cáo EDA đầy đủ 79 cột (đối chiếu với 67 cột đã chọn)</t>
  </si>
  <si>
    <t>06_reports/eda_full/eda.json</t>
  </si>
  <si>
    <t>a860a5548eb7324418525edfb8aa365baf8bc3993f362a50d84796e09890dbe1</t>
  </si>
  <si>
    <t>số liệu EDA đầy đủ 79 cột</t>
  </si>
  <si>
    <t>267a220b2e4b6fc1317a692e78af9c0660fad859de392081f1b9baa54228bf13</t>
  </si>
  <si>
    <t>script EDA chính thức của skill (P4)</t>
  </si>
  <si>
    <t>7148d38810b4cacfa875b33ff0da4e434e0867392fd3b69d9e06b20923da7065</t>
  </si>
  <si>
    <t>script lọc 71 đặc trưng đã chọn (P4)</t>
  </si>
  <si>
    <t>01_data/splits/split_v1_prepped.csv</t>
  </si>
  <si>
    <t>423b3d8395fd06c51a182b039182e78e84c006d513c61fddaf2cdefa4a3b3a8a</t>
  </si>
  <si>
    <t>bảng 71 đặc trưng sau khi áp quy tắc nghiệp vụ (trước preprocess_tabular.py)</t>
  </si>
  <si>
    <t>01_data/processed/preprocessor.joblib</t>
  </si>
  <si>
    <t>joblib</t>
  </si>
  <si>
    <t>62f7355e882d8c24c83b1c9e3f2fe5b036cf08db361ebd754ceb08da453a27bc</t>
  </si>
  <si>
    <t>bộ tiền xử lý đã fit (impute+scale+onehot), dùng để apply cho dữ liệu mới sau này</t>
  </si>
  <si>
    <t>01_data/processed/preprocess_meta.json</t>
  </si>
  <si>
    <t>c9fe12b871e87f210f2f3e53fcc6f3ca0d0e12e6e001241b5c0eaf4eef8ddf29</t>
  </si>
  <si>
    <t>metadata: danh sách cột, tham số impute/scale đã học</t>
  </si>
  <si>
    <t>01_data/processed/processed_train.csv</t>
  </si>
  <si>
    <t>cc5da2c468bf3986f67b24e65ab0ca0ed4c6166c5b4cc4b605d9c912acc330eb</t>
  </si>
  <si>
    <t>dữ liệu train đã tiền xử lý (1020 dòng x 205 đặc trưng)</t>
  </si>
  <si>
    <t>01_data/processed/processed_val.csv</t>
  </si>
  <si>
    <t>11ff797cd5a7885455f0ee595da251a8a0f604063e3a0570ff20c0a64931c2a6</t>
  </si>
  <si>
    <t>dữ liệu val đã tiền xử lý</t>
  </si>
  <si>
    <t>01_data/processed/processed_test.csv</t>
  </si>
  <si>
    <t>274673333c44f596da90075d477a8de16ae59e29c259be6bd4e40050825a4740</t>
  </si>
  <si>
    <t>dữ liệu test đã tiền xử lý (chưa mở, chỉ dùng ở đánh giá cuối)</t>
  </si>
  <si>
    <t>183bbc29009277c54b30266eae37b5c3f8d5469a906f90b70b19363deb82d517</t>
  </si>
  <si>
    <t>script tiền xử lý chính thức của skill (P5), fit/check/apply</t>
  </si>
  <si>
    <t>8256c29b9f6310fa477352621dd19822a1e35ee57f10c02a2a7651b6a5bb121d</t>
  </si>
  <si>
    <t>script khởi tạo cấu trúc project (P0)</t>
  </si>
  <si>
    <t>b454e4193e94852ed3ea5a03345ef36bb829eb20f848904fbc15458d9986653e</t>
  </si>
  <si>
    <t>script ghi change_log.xlsx (dùng xuyên suốt mọi bước)</t>
  </si>
  <si>
    <t>script ghi change_log.xlsx (dùng xuyên suốt mọi bước) - đường dẫn mới</t>
  </si>
  <si>
    <t>script khởi tạo cấu trúc project (P0) - đường dẫn mới</t>
  </si>
  <si>
    <t>script kiểm toán dữ liệu (P1) - đường dẫn mới</t>
  </si>
  <si>
    <t>script chia train/val/test (P3) - đường dẫn mới</t>
  </si>
  <si>
    <t>script EDA thủ công ban đầu (P4) - đường dẫn mới</t>
  </si>
  <si>
    <t>script lọc 71 đặc trưng đã chọn (P4) - đường dẫn mới</t>
  </si>
  <si>
    <t>script EDA chính thức của skill (P4) - đường dẫn mới</t>
  </si>
  <si>
    <t>script vẽ biểu đồ EDA theo nhóm (P4) - đường dẫn mới</t>
  </si>
  <si>
    <t>bf4418ca18dd95b1a0a4c92e127e31851a9521a7285fe3381b3bdcc7fd493009</t>
  </si>
  <si>
    <t>script áp quy tắc nghiệp vụ cố định (P5) - đường dẫn mới</t>
  </si>
  <si>
    <t>script tiền xử lý chính thức của skill (P5) - đường dẫn mới</t>
  </si>
  <si>
    <t>10e12473d54c3046f7276b453c47a6aaf2e7e0affb1d9c7b779190211b7cde6d</t>
  </si>
  <si>
    <t>runbook: toàn bộ lệnh chạy lại pipeline P0-P5</t>
  </si>
  <si>
    <t>8dcfcb0aaaa552bd2e763d04289ed6dd19cd5337dee39c88d7ed8ecaf71416b7</t>
  </si>
  <si>
    <t>script baseline P6 (tầm thường + cổ điển)</t>
  </si>
  <si>
    <t>05_experiments/baseline_metrics.json</t>
  </si>
  <si>
    <t>1864cda1b390f885c3368c5259ac138c8401769ed118dfef06603b6bf35c55e1</t>
  </si>
  <si>
    <t>kết quả 2 baseline (RMSLE/MAE/R2 trên val)</t>
  </si>
  <si>
    <t>4b04bc299c4e61abff941534fe53e202450a2aa75fe26dfc4a70cb2a9bc71453</t>
  </si>
  <si>
    <t>script baseline Linear Regression (P6)</t>
  </si>
  <si>
    <t>05_experiments/linear_regression_coefficients.csv</t>
  </si>
  <si>
    <t>33d8616f4caea9d8fc5b4af31c5b9cc216e6ae5f8eeebb6c8cfd49858d0a61b0</t>
  </si>
  <si>
    <t>toàn bộ 205 hệ số của Linear Regression (trên log1p(SalePrice))</t>
  </si>
  <si>
    <t>05_experiments/linear_regression_metrics.json</t>
  </si>
  <si>
    <t>98ecc36ba94621e4f80ca496f0d2a8ced4ee5b662b18f8c97dd0f09545087271</t>
  </si>
  <si>
    <t>RMSLE/MAE/R2 của Linear Regression trên val</t>
  </si>
  <si>
    <t>cf275c8bd14766fb1928afbc2047e0c5232373f840beb92d98dec3d2dd5461e0</t>
  </si>
  <si>
    <t>script baseline Ridge Regression (P6)</t>
  </si>
  <si>
    <t>05_experiments/ridge_coefficients.csv</t>
  </si>
  <si>
    <t>208d89b42e2cbd25281e03a19754ce9263af1f0ec5c81770d245042253b006e1</t>
  </si>
  <si>
    <t>205 hệ số Ridge - đáng tin cậy để diễn giải, khác với bảng Linear Regression thường</t>
  </si>
  <si>
    <t>05_experiments/ridge_metrics.json</t>
  </si>
  <si>
    <t>841955be76777c4c974c9074a494fa88fb3341007d53682fa4f83cafadd1c047</t>
  </si>
  <si>
    <t>RMSLE/MAE/R2 của Ridge trên val</t>
  </si>
  <si>
    <t>d9a4d462554d30588e478d4ad58cf90be0da38b7eb02b7c6dfbc29c008db96cc</t>
  </si>
  <si>
    <t>script tuning XGBoost (P8, EXP-0005)</t>
  </si>
  <si>
    <t>05_experiments/exp005_xgb_tuning_metrics.json</t>
  </si>
  <si>
    <t>b136282c49c60f52d1ae231401a97f6e51ee060e2fc7fb6344e1e5a215e1bece</t>
  </si>
  <si>
    <t>kết quả + siêu tham số tốt nhất của EXP-0005</t>
  </si>
  <si>
    <t>4ab42211b8435e387ccb43c858c9cb9e37624aff380883bb14f8f38dde1473a6</t>
  </si>
  <si>
    <t>script đánh giá cuối (P9)</t>
  </si>
  <si>
    <t>05_experiments/exp0004_val_bootstrap.json</t>
  </si>
  <si>
    <t>dd413655d233383c7178e90b49c19978f4d57aab7ee854c9594876c69a84471d</t>
  </si>
  <si>
    <t>bootstrap CI trên val</t>
  </si>
  <si>
    <t>05_experiments/exp0004_test_FINAL.json</t>
  </si>
  <si>
    <t>263908f2967933ec87ef43a0c5741cecccbc416a5a87d96e0b9dfaf6063ca812</t>
  </si>
  <si>
    <t>KẾT QUẢ CUỐI trên test (mở đúng 1 lần)</t>
  </si>
  <si>
    <t>05_experiments/exp0004_test_predictions.csv</t>
  </si>
  <si>
    <t>686922406e56e11bab0eb36782830bc850ddf619b775937aef202ce57fed56cc</t>
  </si>
  <si>
    <t>chi tiết dự đoán trên test</t>
  </si>
  <si>
    <t>d5195e77deb345a21aa3fa15b798d8c8a01564f0801f673cfd8fcb033d281fe9</t>
  </si>
  <si>
    <t>chi tiết dự đoán trên val, dùng để phân tích lỗi</t>
  </si>
  <si>
    <t>4e96085477708d5ae3c7f0bb03792a4de3a9eb21df3f0f08563211d5c2219849</t>
  </si>
  <si>
    <t>báo cáo cuối dự án (P9-P11)</t>
  </si>
  <si>
    <t>849476c69083f4750c098e9f0a6c16b4bfb1554d346329ee8872a0856be9b1ee</t>
  </si>
  <si>
    <t>script lưu checkpoint mô hình cuối</t>
  </si>
  <si>
    <t>a8f2688ebc2683f07457782cc411beee201d215bd1d69050177839b3537b24ce</t>
  </si>
  <si>
    <t>script suy luận độc lập trên dữ liệu thô (P10)</t>
  </si>
  <si>
    <t>01_data/processed/final_model_ridge.joblib</t>
  </si>
  <si>
    <t>cd4d2f74cc21b79c8f35b255ef3ba68e28da44e5b529545edb4bf0b057dd372d</t>
  </si>
  <si>
    <t>checkpoint mô hình cuối (Ridge alpha=30)</t>
  </si>
  <si>
    <t>01_data/processed/final_model_meta.json</t>
  </si>
  <si>
    <t>bc1455beab6220bb21a2cc43b97e65e54a9288c13eef68e0afe76bc646a91bd6</t>
  </si>
  <si>
    <t>metadata checkpoint: config, seed, hash dữ liệu</t>
  </si>
  <si>
    <t>93e95ca56bd0db1295d65db1318c444c1e65ef1be8bfd0cbf74cefa59c82adba</t>
  </si>
  <si>
    <t>model card</t>
  </si>
  <si>
    <t>06_reports/deliverables/Paper_HouseSalePrice.docx</t>
  </si>
  <si>
    <t>docx</t>
  </si>
  <si>
    <t>34cfed6dff5793c0def996744d82f3f0621b00473ae69094cf97b24994ebbc0c</t>
  </si>
  <si>
    <t>Paper học thuật (docx)</t>
  </si>
  <si>
    <t>06_reports/deliverables/Paper_HouseSalePrice.pdf</t>
  </si>
  <si>
    <t>pdf</t>
  </si>
  <si>
    <t>a45e5b7fac323d932eb60e900e7a00cea3c1751dbef4b829ebf16064921deb07</t>
  </si>
  <si>
    <t>Paper học thuật (PDF)</t>
  </si>
  <si>
    <t>06_reports/deliverables/Poster_HouseSalePrice.pdf</t>
  </si>
  <si>
    <t>5a750bf6038a5a8399c84de49fc402ec8648bc25f76fa0070641185e633ee3c8</t>
  </si>
  <si>
    <t>Poster học thuật 1 trang (PDF)</t>
  </si>
  <si>
    <t>06_reports/deliverables/Slide_HouseSalePrice.pptx</t>
  </si>
  <si>
    <t>pptx</t>
  </si>
  <si>
    <t>f3813148c6471d0e6f43a3f10fdf64024f4c1e0f21bd6b83a5bcc4a9f5ec356c</t>
  </si>
  <si>
    <t>Slide thuyết trình (11 slide, PowerPoint)</t>
  </si>
  <si>
    <t>js</t>
  </si>
  <si>
    <t>0947acc26654a421ce835b5b1ade9cc895b54d76ff7eb0e073769588cc347e17</t>
  </si>
  <si>
    <t>script sinh Paper (docx-js)</t>
  </si>
  <si>
    <t>adde390948c167894835b27a1b588a490a2d4c24708d6d4929ebe6537ea8b93e</t>
  </si>
  <si>
    <t>script sinh Slide (pptxgenjs)</t>
  </si>
  <si>
    <t>Exp_ID</t>
  </si>
  <si>
    <t>Giờ</t>
  </si>
  <si>
    <t>Mục_tiêu/Giả_thuyết</t>
  </si>
  <si>
    <t>Exp_cha</t>
  </si>
  <si>
    <t>Thay_đổi_so_với_exp_cha</t>
  </si>
  <si>
    <t>Model</t>
  </si>
  <si>
    <t>Số_tham_số</t>
  </si>
  <si>
    <t>Phiên_bản_dữ_liệu/Split</t>
  </si>
  <si>
    <t>Đường_dẫn_config</t>
  </si>
  <si>
    <t>Hash_config</t>
  </si>
  <si>
    <t>Seed</t>
  </si>
  <si>
    <t>Epochs</t>
  </si>
  <si>
    <t>Batch</t>
  </si>
  <si>
    <t>Optimizer</t>
  </si>
  <si>
    <t>LR</t>
  </si>
  <si>
    <t>Augmentation</t>
  </si>
  <si>
    <t>Tên_metric</t>
  </si>
  <si>
    <t>Train_metric</t>
  </si>
  <si>
    <t>Val_metric</t>
  </si>
  <si>
    <t>Test_metric (chỉ mô hình cuối)</t>
  </si>
  <si>
    <t>Thời_gian_train</t>
  </si>
  <si>
    <t>Phần_cứng</t>
  </si>
  <si>
    <t>Checkpoint</t>
  </si>
  <si>
    <t>Kết_luận</t>
  </si>
  <si>
    <t>EXP-0001</t>
  </si>
  <si>
    <t>Baseline tam thuong (G3) - moc san de so sanh moi mo hinh sau nay</t>
  </si>
  <si>
    <t>constant_mean</t>
  </si>
  <si>
    <t>split_v1_prepped (sau P5)</t>
  </si>
  <si>
    <t>RMSLE</t>
  </si>
  <si>
    <t>Du doan hang so = trung binh SalePrice(train)=180921. MAE=58299, R2=-0.007 (gan 0, dung nghia la khong giai thich duoc gi). Day la san duoi cung, moi mo hinh phai vuot xa con so nay.</t>
  </si>
  <si>
    <t>EXP-0002</t>
  </si>
  <si>
    <t>Baseline co dien (G3) - XGBoost tren 205 dac trung da tien xu ly</t>
  </si>
  <si>
    <t>XGBRegressor(n_estimators=500, lr=0.05, max_depth=4, subsample=0.8, colsample_bytree=0.8)</t>
  </si>
  <si>
    <t>split_v1_prepped (sau P5), fit tren log1p(SalePrice)</t>
  </si>
  <si>
    <t>RMSLE=0.1267 (val), MAE=15637, R2=0.910. Vuot baseline tam thuong rat xa (RMSLE giam tu 0.406 xuong 0.127, R2 tu -0.007 len 0.910). Xac nhan huong ML (khong DL) la hop ly cho du lieu bang nay, dung theo nguyen tac 8 cua skill.</t>
  </si>
  <si>
    <t>EXP-0003</t>
  </si>
  <si>
    <t>Baseline bo sung theo yeu cau nguoi dung: Linear Regression de tinh tham so/he so tung dac trung</t>
  </si>
  <si>
    <t>LinearRegression (scikit-learn, khong regularization)</t>
  </si>
  <si>
    <t>RMSLE=0.1143, MAE=13322, R2=0.948 - tot hon ca XGBoost baseline (EXP-0002: RMSLE=0.1267). CANH BAO khi doc he so: 15/15 he so lon nhat deu la cac cot one-hot cua muc hang muc HIEM (vd Condition2_RRAe, Exterior1st_BrkComm - chi vai mau), day la dau hieu phuong sai he so cao do qua it quan sat, KHONG phai bang chung do quan trong thuc su. Can dung Ridge/Lasso (co regularization) neu muon doc he so on dinh, dang tin cay hon.</t>
  </si>
  <si>
    <t>EXP-0004</t>
  </si>
  <si>
    <t>Ridge Regression (L2) de co bang he so on dinh, dang tin cay hon Linear Regression thuong (EXP-0003)</t>
  </si>
  <si>
    <t>RidgeCV(alphas=[0.1..1000], cv=5, chon alpha bang CV tren TRAIN)</t>
  </si>
  <si>
    <t>Test RMSLE=0.1301 (MAE=$14280, R2=0.943, bootstrap 95% CI=[0.099,0.159], n=219). Mo test dung 1 lan, xem LOG-0064 (DECISION mo test) va LOG-0065 (RUN).</t>
  </si>
  <si>
    <t>EXP-0005</t>
  </si>
  <si>
    <t>P8, gia thuyet: tinh chinh sieu tham so XGBoost bang RandomizedSearchCV (5-fold CV tren TRAIN) se cai thien so voi XGBoost mac dinh EXP-0002</t>
  </si>
  <si>
    <t>XGBRegressor (best params tu RandomizedSearchCV, 60 iter): max_depth=2, n_estimators=1200, lr=0.03, subsample=0.7, colsample_bytree=1.0, reg_alpha=0.1, reg_lambda=1.5, min_child_weight=2</t>
  </si>
  <si>
    <t>Cai thien so voi XGBoost mac dinh (EXP-0002: 0.1267 -&gt; 0.1245, giam nhe). Nhung VAN KEM HON Ridge (EXP-0004: 0.1155) va Linear Regression (EXP-0003: 0.1143). Dieu nay cung co gia thuyet: voi 205 dac trung da duoc feature-engineer tot (one-hot + ordinal), quan he voi log(SalePrice) chu yeu la TUYEN TINH, nen mo hinh tuyen tinh co regularization dang thang the hon cay quyet dinh o quy mo du lieu nho (1020 dong). Gia thuyet tiep theo dang can nhac: stacking Ridge+XGBoost, hoac feature engineering them (interaction terms).</t>
  </si>
  <si>
    <t>Thống kê nhật ký (công thức - chạy recalc.py để cập nhật giá trị cache)</t>
  </si>
  <si>
    <t>Tổng số dòng log</t>
  </si>
  <si>
    <t>Tổng số thí nghiệm</t>
  </si>
  <si>
    <t>Tổng số finding</t>
  </si>
  <si>
    <t>Thí nghiệm Done</t>
  </si>
  <si>
    <t>Finding còn Open</t>
  </si>
  <si>
    <t>Thí nghiệm Failed</t>
  </si>
  <si>
    <t>Theo loại hành động</t>
  </si>
  <si>
    <t>EXPLORE</t>
  </si>
  <si>
    <t>DISCOVER</t>
  </si>
  <si>
    <t>DELETE</t>
  </si>
  <si>
    <t>Theo trạng thái</t>
  </si>
  <si>
    <t>Needs-confirmation</t>
  </si>
  <si>
    <t>Reverted</t>
  </si>
  <si>
    <t>Theo mức độ</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</si>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</sst>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hh:mm:ss"/>
  </numFmts>
  <fonts count="7" x14ac:knownFonts="1">
    <font>
      <sz val="11"/>
      <color theme="1"/>
      <name val="Calibri"/>
      <family val="2"/>
      <charset val="1"/>
    </font>
    <font>
      <b/>
      <sz val="12"/>
      <name val="Times New Roman"/>
      <charset val="1"/>
    </font>
    <font>
      <sz val="10"/>
      <name val="Times New Roman"/>
      <charset val="1"/>
    </font>
    <font>
      <b/>
      <sz val="10"/>
      <name val="Times New Roman"/>
      <charset val="1"/>
    </font>
    <font>
      <b/>
      <sz val="10"/>
      <color rgb="FFFFFFFF"/>
      <name val="Times New Roman"/>
      <charset val="1"/>
    </font>
    <font>
      <sz val="10"/>
      <name val="Arial"/>
      <charset val="1"/>
    </font>
    <font>
      <b/>
      <sz val="11"/>
      <name val="Times New Roman"/>
      <charset val="1"/>
    </font>
  </fonts>
  <fills count="4">
    <fill>
      <patternFill patternType="none"/>
    </fill>
    <fill>
      <patternFill patternType="gray125"/>
    </fill>
    <fill>
      <patternFill patternType="solid">
        <fgColor rgb="FF1F3864"/>
        <bgColor rgb="FF333333"/>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0" fillId="0" borderId="0" xfId="0" applyAlignment="1"/>
    <xf numFmtId="0" fontId="1" fillId="0" borderId="0" xfId="0" applyFont="1" applyAlignment="1"/>
    <xf numFmtId="0" fontId="2" fillId="0" borderId="0" xfId="0" applyFont="1" applyAlignment="1">
      <alignment vertical="top" wrapText="1"/>
    </xf>
    <xf numFmtId="0" fontId="3" fillId="0" borderId="0" xfId="0" applyFont="1" applyAlignment="1"/>
    <xf numFmtId="0" fontId="4" fillId="2" borderId="1" xfId="0" applyFont="1" applyFill="1" applyBorder="1" applyAlignment="1">
      <alignment horizontal="center" vertical="center"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165" fontId="2" fillId="0" borderId="1" xfId="0" applyNumberFormat="1" applyFont="1" applyBorder="1" applyAlignment="1">
      <alignment vertical="top" wrapText="1"/>
    </xf>
    <xf numFmtId="0" fontId="5" fillId="0" borderId="1" xfId="0" applyFont="1" applyBorder="1" applyAlignment="1">
      <alignment vertical="top" wrapText="1"/>
    </xf>
    <xf numFmtId="164" fontId="5" fillId="0" borderId="1" xfId="0" applyNumberFormat="1" applyFont="1" applyBorder="1" applyAlignment="1">
      <alignment vertical="top" wrapText="1"/>
    </xf>
    <xf numFmtId="165" fontId="5" fillId="0" borderId="1" xfId="0" applyNumberFormat="1" applyFont="1" applyBorder="1" applyAlignment="1">
      <alignment vertical="top" wrapText="1"/>
    </xf>
    <xf numFmtId="0" fontId="5" fillId="3" borderId="1" xfId="0" applyFont="1" applyFill="1" applyBorder="1" applyAlignment="1">
      <alignment vertical="top" wrapText="1"/>
    </xf>
    <xf numFmtId="0" fontId="2" fillId="0" borderId="0" xfId="0" applyFont="1" applyAlignment="1"/>
    <xf numFmtId="0" fontId="6"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Normal="100" workbookViewId="0"/>
  </sheetViews>
  <sheetFormatPr defaultColWidth="8.7109375" defaultRowHeight="15" x14ac:dyDescent="0.25"/>
  <cols>
    <col min="1" max="1" width="26" style="1" customWidth="1"/>
    <col min="2" max="2" width="110" style="1" customWidth="1"/>
  </cols>
  <sheetData>
    <row r="1" spans="1:2" ht="15" customHeight="1" x14ac:dyDescent="0.25">
      <c r="A1" s="2" t="s">
        <v>0</v>
      </c>
      <c r="B1" s="3"/>
    </row>
    <row r="2" spans="1:2" ht="15" customHeight="1" x14ac:dyDescent="0.25">
      <c r="A2" s="4" t="s">
        <v>1</v>
      </c>
      <c r="B2" s="3" t="s">
        <v>2</v>
      </c>
    </row>
    <row r="3" spans="1:2" ht="23.25" customHeight="1" x14ac:dyDescent="0.25">
      <c r="A3" s="4" t="s">
        <v>3</v>
      </c>
      <c r="B3" s="3" t="s">
        <v>4</v>
      </c>
    </row>
    <row r="4" spans="1:2" ht="15" customHeight="1" x14ac:dyDescent="0.25">
      <c r="A4" s="4" t="s">
        <v>5</v>
      </c>
      <c r="B4" s="3" t="s">
        <v>6</v>
      </c>
    </row>
    <row r="5" spans="1:2" ht="15" customHeight="1" x14ac:dyDescent="0.25">
      <c r="A5" s="4" t="s">
        <v>7</v>
      </c>
      <c r="B5" s="3" t="s">
        <v>8</v>
      </c>
    </row>
    <row r="6" spans="1:2" ht="15" customHeight="1" x14ac:dyDescent="0.25">
      <c r="A6" s="4" t="s">
        <v>9</v>
      </c>
      <c r="B6" s="3" t="s">
        <v>10</v>
      </c>
    </row>
    <row r="7" spans="1:2" ht="15" customHeight="1" x14ac:dyDescent="0.25">
      <c r="A7" s="4" t="s">
        <v>11</v>
      </c>
      <c r="B7" s="3" t="s">
        <v>12</v>
      </c>
    </row>
    <row r="8" spans="1:2" ht="15" customHeight="1" x14ac:dyDescent="0.25">
      <c r="A8" s="4" t="s">
        <v>13</v>
      </c>
      <c r="B8" s="3" t="s">
        <v>14</v>
      </c>
    </row>
    <row r="9" spans="1:2" ht="15" customHeight="1" x14ac:dyDescent="0.25">
      <c r="A9" s="4" t="s">
        <v>15</v>
      </c>
      <c r="B9" s="3" t="s">
        <v>16</v>
      </c>
    </row>
    <row r="10" spans="1:2" ht="23.25" customHeight="1" x14ac:dyDescent="0.25">
      <c r="A10" s="4" t="s">
        <v>17</v>
      </c>
      <c r="B10" s="3" t="s">
        <v>18</v>
      </c>
    </row>
    <row r="11" spans="1:2" ht="15" customHeight="1" x14ac:dyDescent="0.25">
      <c r="A11" s="4" t="s">
        <v>19</v>
      </c>
      <c r="B11" s="3"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77"/>
  <sheetViews>
    <sheetView tabSelected="1" zoomScaleNormal="100" workbookViewId="0">
      <pane ySplit="1" topLeftCell="A2" activePane="bottomLeft" state="frozen"/>
      <selection pane="bottomLeft" activeCell="H2" sqref="H2"/>
    </sheetView>
  </sheetViews>
  <sheetFormatPr defaultColWidth="8.7109375" defaultRowHeight="15" x14ac:dyDescent="0.25"/>
  <cols>
    <col min="1" max="1" width="10" style="1" customWidth="1"/>
    <col min="2" max="2" width="14" style="1" customWidth="1"/>
    <col min="3" max="3" width="11" style="1" customWidth="1"/>
    <col min="4" max="5" width="14" style="1" customWidth="1"/>
    <col min="6" max="6" width="16" style="1" customWidth="1"/>
    <col min="7" max="7" width="10" style="1" customWidth="1"/>
    <col min="8" max="8" width="16" style="1" customWidth="1"/>
    <col min="9" max="9" width="14" style="1" customWidth="1"/>
    <col min="10" max="10" width="20" style="1" customWidth="1"/>
    <col min="11" max="11" width="26" style="1" customWidth="1"/>
    <col min="12" max="12" width="44" style="1" customWidth="1"/>
    <col min="13" max="13" width="22" style="1" customWidth="1"/>
    <col min="14" max="14" width="60" style="1" customWidth="1"/>
    <col min="15" max="17" width="40" style="1" customWidth="1"/>
    <col min="18" max="18" width="11" style="1" customWidth="1"/>
    <col min="19" max="19" width="18" style="1" customWidth="1"/>
    <col min="20" max="20" width="40" style="1" customWidth="1"/>
    <col min="21" max="21" width="16" style="1" customWidth="1"/>
    <col min="22" max="22" width="40" style="1" customWidth="1"/>
    <col min="23" max="24" width="34" style="1" customWidth="1"/>
  </cols>
  <sheetData>
    <row r="1" spans="1:24" ht="31.5" customHeight="1" x14ac:dyDescent="0.25">
      <c r="A1" s="5" t="s">
        <v>21</v>
      </c>
      <c r="B1" s="5" t="s">
        <v>22</v>
      </c>
      <c r="C1" s="5" t="s">
        <v>23</v>
      </c>
      <c r="D1" s="5" t="s">
        <v>15</v>
      </c>
      <c r="E1" s="5" t="s">
        <v>24</v>
      </c>
      <c r="F1" s="5" t="s">
        <v>5</v>
      </c>
      <c r="G1" s="5" t="s">
        <v>25</v>
      </c>
      <c r="H1" s="5" t="s">
        <v>7</v>
      </c>
      <c r="I1" s="5" t="s">
        <v>3</v>
      </c>
      <c r="J1" s="5" t="s">
        <v>26</v>
      </c>
      <c r="K1" s="5" t="s">
        <v>27</v>
      </c>
      <c r="L1" s="5" t="s">
        <v>28</v>
      </c>
      <c r="M1" s="5" t="s">
        <v>29</v>
      </c>
      <c r="N1" s="5" t="s">
        <v>30</v>
      </c>
      <c r="O1" s="5" t="s">
        <v>31</v>
      </c>
      <c r="P1" s="5" t="s">
        <v>32</v>
      </c>
      <c r="Q1" s="5" t="s">
        <v>33</v>
      </c>
      <c r="R1" s="5" t="s">
        <v>9</v>
      </c>
      <c r="S1" s="5" t="s">
        <v>11</v>
      </c>
      <c r="T1" s="5" t="s">
        <v>34</v>
      </c>
      <c r="U1" s="5" t="s">
        <v>35</v>
      </c>
      <c r="V1" s="5" t="s">
        <v>36</v>
      </c>
      <c r="W1" s="5" t="s">
        <v>37</v>
      </c>
      <c r="X1" s="5" t="s">
        <v>38</v>
      </c>
    </row>
    <row r="2" spans="1:24" ht="23.25" customHeight="1" x14ac:dyDescent="0.25">
      <c r="A2" s="6" t="s">
        <v>39</v>
      </c>
      <c r="B2" s="7">
        <v>46287</v>
      </c>
      <c r="C2" s="8">
        <v>0.491342592592593</v>
      </c>
      <c r="D2" s="6" t="s">
        <v>40</v>
      </c>
      <c r="E2" s="6" t="s">
        <v>41</v>
      </c>
      <c r="F2" s="6" t="s">
        <v>42</v>
      </c>
      <c r="G2" s="6" t="s">
        <v>43</v>
      </c>
      <c r="H2" s="6" t="s">
        <v>82</v>
      </c>
      <c r="I2" s="6" t="s">
        <v>44</v>
      </c>
      <c r="J2" s="6" t="s">
        <v>45</v>
      </c>
      <c r="K2" s="6" t="s">
        <v>46</v>
      </c>
      <c r="L2" s="6" t="s">
        <v>47</v>
      </c>
      <c r="M2" s="6"/>
      <c r="N2" s="6" t="s">
        <v>48</v>
      </c>
      <c r="O2" s="6" t="s">
        <v>49</v>
      </c>
      <c r="P2" s="6"/>
      <c r="Q2" s="6"/>
      <c r="R2" s="6" t="s">
        <v>50</v>
      </c>
      <c r="S2" s="6" t="s">
        <v>51</v>
      </c>
      <c r="T2" s="6"/>
      <c r="U2" s="6"/>
      <c r="V2" s="6"/>
      <c r="W2" s="6" t="s">
        <v>52</v>
      </c>
      <c r="X2" s="6"/>
    </row>
    <row r="3" spans="1:24" ht="23.25" customHeight="1" x14ac:dyDescent="0.25">
      <c r="A3" s="6" t="s">
        <v>53</v>
      </c>
      <c r="B3" s="7">
        <v>46287</v>
      </c>
      <c r="C3" s="8">
        <v>0.491342592592593</v>
      </c>
      <c r="D3" s="6" t="s">
        <v>40</v>
      </c>
      <c r="E3" s="6" t="s">
        <v>41</v>
      </c>
      <c r="F3" s="6" t="s">
        <v>42</v>
      </c>
      <c r="G3" s="6" t="s">
        <v>43</v>
      </c>
      <c r="H3" s="6" t="s">
        <v>82</v>
      </c>
      <c r="I3" s="6" t="s">
        <v>44</v>
      </c>
      <c r="J3" s="6" t="s">
        <v>54</v>
      </c>
      <c r="K3" s="6" t="s">
        <v>55</v>
      </c>
      <c r="L3" s="6" t="s">
        <v>56</v>
      </c>
      <c r="M3" s="6"/>
      <c r="N3" s="6" t="s">
        <v>57</v>
      </c>
      <c r="O3" s="6" t="s">
        <v>58</v>
      </c>
      <c r="P3" s="6"/>
      <c r="Q3" s="6"/>
      <c r="R3" s="6" t="s">
        <v>50</v>
      </c>
      <c r="S3" s="6" t="s">
        <v>51</v>
      </c>
      <c r="T3" s="6"/>
      <c r="U3" s="6"/>
      <c r="V3" s="6"/>
      <c r="W3" s="6" t="s">
        <v>52</v>
      </c>
      <c r="X3" s="6"/>
    </row>
    <row r="4" spans="1:24" ht="34.5" customHeight="1" x14ac:dyDescent="0.25">
      <c r="A4" s="6" t="s">
        <v>59</v>
      </c>
      <c r="B4" s="7">
        <v>46287</v>
      </c>
      <c r="C4" s="8">
        <v>0.49151620370370402</v>
      </c>
      <c r="D4" s="6" t="s">
        <v>40</v>
      </c>
      <c r="E4" s="6" t="s">
        <v>41</v>
      </c>
      <c r="F4" s="6" t="s">
        <v>42</v>
      </c>
      <c r="G4" s="6" t="s">
        <v>43</v>
      </c>
      <c r="H4" s="6" t="s">
        <v>82</v>
      </c>
      <c r="I4" s="6" t="s">
        <v>60</v>
      </c>
      <c r="J4" s="6" t="s">
        <v>45</v>
      </c>
      <c r="K4" s="6"/>
      <c r="L4" s="6"/>
      <c r="M4" s="6"/>
      <c r="N4" s="6" t="s">
        <v>61</v>
      </c>
      <c r="O4" s="6" t="s">
        <v>62</v>
      </c>
      <c r="P4" s="6"/>
      <c r="Q4" s="6"/>
      <c r="R4" s="6" t="s">
        <v>50</v>
      </c>
      <c r="S4" s="6" t="s">
        <v>51</v>
      </c>
      <c r="T4" s="6"/>
      <c r="U4" s="6"/>
      <c r="V4" s="6"/>
      <c r="W4" s="6"/>
      <c r="X4" s="6"/>
    </row>
    <row r="5" spans="1:24" ht="23.25" customHeight="1" x14ac:dyDescent="0.25">
      <c r="A5" s="6" t="s">
        <v>63</v>
      </c>
      <c r="B5" s="7">
        <v>46287</v>
      </c>
      <c r="C5" s="8">
        <v>0.49151620370370402</v>
      </c>
      <c r="D5" s="6" t="s">
        <v>40</v>
      </c>
      <c r="E5" s="6" t="s">
        <v>41</v>
      </c>
      <c r="F5" s="6" t="s">
        <v>42</v>
      </c>
      <c r="G5" s="6" t="s">
        <v>43</v>
      </c>
      <c r="H5" s="6" t="s">
        <v>82</v>
      </c>
      <c r="I5" s="6" t="s">
        <v>60</v>
      </c>
      <c r="J5" s="6" t="s">
        <v>45</v>
      </c>
      <c r="K5" s="6"/>
      <c r="L5" s="6"/>
      <c r="M5" s="6"/>
      <c r="N5" s="6" t="s">
        <v>64</v>
      </c>
      <c r="O5" s="6" t="s">
        <v>65</v>
      </c>
      <c r="P5" s="6"/>
      <c r="Q5" s="6"/>
      <c r="R5" s="6" t="s">
        <v>50</v>
      </c>
      <c r="S5" s="6" t="s">
        <v>51</v>
      </c>
      <c r="T5" s="6"/>
      <c r="U5" s="6"/>
      <c r="V5" s="6"/>
      <c r="W5" s="6"/>
      <c r="X5" s="6"/>
    </row>
    <row r="6" spans="1:24" ht="34.5" customHeight="1" x14ac:dyDescent="0.25">
      <c r="A6" s="6" t="s">
        <v>66</v>
      </c>
      <c r="B6" s="7">
        <v>46287</v>
      </c>
      <c r="C6" s="8">
        <v>0.49152777777777801</v>
      </c>
      <c r="D6" s="6" t="s">
        <v>40</v>
      </c>
      <c r="E6" s="6" t="s">
        <v>41</v>
      </c>
      <c r="F6" s="6" t="s">
        <v>42</v>
      </c>
      <c r="G6" s="6" t="s">
        <v>43</v>
      </c>
      <c r="H6" s="6" t="s">
        <v>82</v>
      </c>
      <c r="I6" s="6" t="s">
        <v>60</v>
      </c>
      <c r="J6" s="6" t="s">
        <v>45</v>
      </c>
      <c r="K6" s="6"/>
      <c r="L6" s="6"/>
      <c r="M6" s="6"/>
      <c r="N6" s="6" t="s">
        <v>67</v>
      </c>
      <c r="O6" s="6" t="s">
        <v>68</v>
      </c>
      <c r="P6" s="6"/>
      <c r="Q6" s="6"/>
      <c r="R6" s="6" t="s">
        <v>50</v>
      </c>
      <c r="S6" s="6" t="s">
        <v>51</v>
      </c>
      <c r="T6" s="6"/>
      <c r="U6" s="6"/>
      <c r="V6" s="6"/>
      <c r="W6" s="6"/>
      <c r="X6" s="6"/>
    </row>
    <row r="7" spans="1:24" ht="34.5" customHeight="1" x14ac:dyDescent="0.25">
      <c r="A7" s="6" t="s">
        <v>69</v>
      </c>
      <c r="B7" s="7">
        <v>46287</v>
      </c>
      <c r="C7" s="8">
        <v>0.49606481481481501</v>
      </c>
      <c r="D7" s="6" t="s">
        <v>40</v>
      </c>
      <c r="E7" s="6" t="s">
        <v>41</v>
      </c>
      <c r="F7" s="6" t="s">
        <v>42</v>
      </c>
      <c r="G7" s="6" t="s">
        <v>43</v>
      </c>
      <c r="H7" s="6" t="s">
        <v>82</v>
      </c>
      <c r="I7" s="6" t="s">
        <v>44</v>
      </c>
      <c r="J7" s="6" t="s">
        <v>70</v>
      </c>
      <c r="K7" s="6" t="s">
        <v>71</v>
      </c>
      <c r="L7" s="6" t="s">
        <v>71</v>
      </c>
      <c r="M7" s="6"/>
      <c r="N7" s="6" t="s">
        <v>72</v>
      </c>
      <c r="O7" s="6"/>
      <c r="P7" s="6"/>
      <c r="Q7" s="6"/>
      <c r="R7" s="6" t="s">
        <v>50</v>
      </c>
      <c r="S7" s="6" t="s">
        <v>51</v>
      </c>
      <c r="T7" s="6" t="s">
        <v>73</v>
      </c>
      <c r="U7" s="6"/>
      <c r="V7" s="6"/>
      <c r="W7" s="6"/>
      <c r="X7" s="6"/>
    </row>
    <row r="8" spans="1:24" ht="23.25" customHeight="1" x14ac:dyDescent="0.25">
      <c r="A8" s="6" t="s">
        <v>74</v>
      </c>
      <c r="B8" s="7">
        <v>46287</v>
      </c>
      <c r="C8" s="8">
        <v>0.49606481481481501</v>
      </c>
      <c r="D8" s="6" t="s">
        <v>40</v>
      </c>
      <c r="E8" s="6" t="s">
        <v>41</v>
      </c>
      <c r="F8" s="6" t="s">
        <v>42</v>
      </c>
      <c r="G8" s="6" t="s">
        <v>43</v>
      </c>
      <c r="H8" s="6" t="s">
        <v>82</v>
      </c>
      <c r="I8" s="6" t="s">
        <v>44</v>
      </c>
      <c r="J8" s="6" t="s">
        <v>70</v>
      </c>
      <c r="K8" s="6" t="s">
        <v>75</v>
      </c>
      <c r="L8" s="6" t="s">
        <v>75</v>
      </c>
      <c r="M8" s="6"/>
      <c r="N8" s="6" t="s">
        <v>76</v>
      </c>
      <c r="O8" s="6"/>
      <c r="P8" s="6"/>
      <c r="Q8" s="6"/>
      <c r="R8" s="6" t="s">
        <v>50</v>
      </c>
      <c r="S8" s="6" t="s">
        <v>51</v>
      </c>
      <c r="T8" s="6" t="s">
        <v>77</v>
      </c>
      <c r="U8" s="6"/>
      <c r="V8" s="6"/>
      <c r="W8" s="6"/>
      <c r="X8" s="6"/>
    </row>
    <row r="9" spans="1:24" ht="23.25" customHeight="1" x14ac:dyDescent="0.25">
      <c r="A9" s="6" t="s">
        <v>78</v>
      </c>
      <c r="B9" s="7">
        <v>46287</v>
      </c>
      <c r="C9" s="8">
        <v>0.496076388888889</v>
      </c>
      <c r="D9" s="6" t="s">
        <v>40</v>
      </c>
      <c r="E9" s="6" t="s">
        <v>41</v>
      </c>
      <c r="F9" s="6" t="s">
        <v>42</v>
      </c>
      <c r="G9" s="6" t="s">
        <v>43</v>
      </c>
      <c r="H9" s="6" t="s">
        <v>82</v>
      </c>
      <c r="I9" s="6" t="s">
        <v>44</v>
      </c>
      <c r="J9" s="6" t="s">
        <v>70</v>
      </c>
      <c r="K9" s="6" t="s">
        <v>79</v>
      </c>
      <c r="L9" s="6" t="s">
        <v>79</v>
      </c>
      <c r="M9" s="6"/>
      <c r="N9" s="6" t="s">
        <v>80</v>
      </c>
      <c r="O9" s="6"/>
      <c r="P9" s="6"/>
      <c r="Q9" s="6"/>
      <c r="R9" s="6" t="s">
        <v>50</v>
      </c>
      <c r="S9" s="6" t="s">
        <v>51</v>
      </c>
      <c r="T9" s="6"/>
      <c r="U9" s="6"/>
      <c r="V9" s="6"/>
      <c r="W9" s="6"/>
      <c r="X9" s="6"/>
    </row>
    <row r="10" spans="1:24" ht="23.25" customHeight="1" x14ac:dyDescent="0.25">
      <c r="A10" s="6" t="s">
        <v>81</v>
      </c>
      <c r="B10" s="7">
        <v>46287</v>
      </c>
      <c r="C10" s="8">
        <v>0.50430555555555601</v>
      </c>
      <c r="D10" s="6" t="s">
        <v>40</v>
      </c>
      <c r="E10" s="6" t="s">
        <v>41</v>
      </c>
      <c r="F10" s="6" t="s">
        <v>42</v>
      </c>
      <c r="G10" s="6" t="s">
        <v>43</v>
      </c>
      <c r="H10" s="6" t="s">
        <v>82</v>
      </c>
      <c r="I10" s="6" t="s">
        <v>60</v>
      </c>
      <c r="J10" s="6" t="s">
        <v>83</v>
      </c>
      <c r="K10" s="6"/>
      <c r="L10" s="6"/>
      <c r="M10" s="6"/>
      <c r="N10" s="6" t="s">
        <v>84</v>
      </c>
      <c r="O10" s="6" t="s">
        <v>85</v>
      </c>
      <c r="P10" s="6"/>
      <c r="Q10" s="6"/>
      <c r="R10" s="6" t="s">
        <v>50</v>
      </c>
      <c r="S10" s="6" t="s">
        <v>51</v>
      </c>
      <c r="T10" s="6"/>
      <c r="U10" s="6"/>
      <c r="V10" s="6"/>
      <c r="W10" s="6"/>
      <c r="X10" s="6"/>
    </row>
    <row r="11" spans="1:24" ht="23.25" customHeight="1" x14ac:dyDescent="0.25">
      <c r="A11" s="6" t="s">
        <v>86</v>
      </c>
      <c r="B11" s="7">
        <v>46287</v>
      </c>
      <c r="C11" s="8">
        <v>0.50431712962963005</v>
      </c>
      <c r="D11" s="6" t="s">
        <v>40</v>
      </c>
      <c r="E11" s="6" t="s">
        <v>41</v>
      </c>
      <c r="F11" s="6" t="s">
        <v>42</v>
      </c>
      <c r="G11" s="6" t="s">
        <v>43</v>
      </c>
      <c r="H11" s="6" t="s">
        <v>82</v>
      </c>
      <c r="I11" s="6" t="s">
        <v>87</v>
      </c>
      <c r="J11" s="6" t="s">
        <v>83</v>
      </c>
      <c r="K11" s="6"/>
      <c r="L11" s="6"/>
      <c r="M11" s="6"/>
      <c r="N11" s="6" t="s">
        <v>88</v>
      </c>
      <c r="O11" s="6"/>
      <c r="P11" s="6"/>
      <c r="Q11" s="6"/>
      <c r="R11" s="6" t="s">
        <v>50</v>
      </c>
      <c r="S11" s="6" t="s">
        <v>51</v>
      </c>
      <c r="T11" s="6"/>
      <c r="U11" s="6"/>
      <c r="V11" s="6"/>
      <c r="W11" s="6"/>
      <c r="X11" s="6"/>
    </row>
    <row r="12" spans="1:24" ht="79.5" customHeight="1" x14ac:dyDescent="0.25">
      <c r="A12" s="6" t="s">
        <v>89</v>
      </c>
      <c r="B12" s="7">
        <v>46288</v>
      </c>
      <c r="C12" s="8">
        <v>0.54692129629629604</v>
      </c>
      <c r="D12" s="6" t="s">
        <v>40</v>
      </c>
      <c r="E12" s="6" t="s">
        <v>90</v>
      </c>
      <c r="F12" s="6" t="s">
        <v>42</v>
      </c>
      <c r="G12" s="6" t="s">
        <v>43</v>
      </c>
      <c r="H12" s="6" t="s">
        <v>82</v>
      </c>
      <c r="I12" s="6" t="s">
        <v>91</v>
      </c>
      <c r="J12" s="6" t="s">
        <v>92</v>
      </c>
      <c r="K12" s="6"/>
      <c r="L12" s="6"/>
      <c r="M12" s="6"/>
      <c r="N12" s="6" t="s">
        <v>93</v>
      </c>
      <c r="O12" s="6"/>
      <c r="P12" s="6"/>
      <c r="Q12" s="6"/>
      <c r="R12" s="6" t="s">
        <v>50</v>
      </c>
      <c r="S12" s="6" t="s">
        <v>51</v>
      </c>
      <c r="T12" s="6"/>
      <c r="U12" s="6"/>
      <c r="V12" s="6"/>
      <c r="W12" s="6"/>
      <c r="X12" s="6" t="s">
        <v>94</v>
      </c>
    </row>
    <row r="13" spans="1:24" ht="23.25" customHeight="1" x14ac:dyDescent="0.25">
      <c r="A13" s="6" t="s">
        <v>95</v>
      </c>
      <c r="B13" s="7">
        <v>46288</v>
      </c>
      <c r="C13" s="8">
        <v>0.55101851851851902</v>
      </c>
      <c r="D13" s="6" t="s">
        <v>40</v>
      </c>
      <c r="E13" s="6" t="s">
        <v>90</v>
      </c>
      <c r="F13" s="6" t="s">
        <v>42</v>
      </c>
      <c r="G13" s="6" t="s">
        <v>43</v>
      </c>
      <c r="H13" s="6" t="s">
        <v>82</v>
      </c>
      <c r="I13" s="6" t="s">
        <v>44</v>
      </c>
      <c r="J13" s="6" t="s">
        <v>92</v>
      </c>
      <c r="K13" s="6" t="s">
        <v>96</v>
      </c>
      <c r="L13" s="6" t="s">
        <v>97</v>
      </c>
      <c r="M13" s="6"/>
      <c r="N13" s="6" t="s">
        <v>98</v>
      </c>
      <c r="O13" s="6"/>
      <c r="P13" s="6"/>
      <c r="Q13" s="6"/>
      <c r="R13" s="6" t="s">
        <v>50</v>
      </c>
      <c r="S13" s="6" t="s">
        <v>51</v>
      </c>
      <c r="T13" s="6"/>
      <c r="U13" s="6"/>
      <c r="V13" s="6"/>
      <c r="W13" s="6"/>
      <c r="X13" s="6"/>
    </row>
    <row r="14" spans="1:24" ht="68.25" customHeight="1" x14ac:dyDescent="0.25">
      <c r="A14" s="9" t="s">
        <v>99</v>
      </c>
      <c r="B14" s="10">
        <v>46288</v>
      </c>
      <c r="C14" s="11">
        <v>0.55409722222222202</v>
      </c>
      <c r="D14" s="9" t="s">
        <v>40</v>
      </c>
      <c r="E14" s="9" t="s">
        <v>90</v>
      </c>
      <c r="F14" s="9" t="s">
        <v>42</v>
      </c>
      <c r="G14" s="9" t="s">
        <v>43</v>
      </c>
      <c r="H14" s="9" t="s">
        <v>82</v>
      </c>
      <c r="I14" s="9" t="s">
        <v>87</v>
      </c>
      <c r="J14" s="9" t="s">
        <v>100</v>
      </c>
      <c r="K14" s="9"/>
      <c r="L14" s="9"/>
      <c r="M14" s="9"/>
      <c r="N14" s="9" t="s">
        <v>101</v>
      </c>
      <c r="O14" s="9" t="s">
        <v>102</v>
      </c>
      <c r="P14" s="9"/>
      <c r="Q14" s="9"/>
      <c r="R14" s="9" t="s">
        <v>50</v>
      </c>
      <c r="S14" s="9" t="s">
        <v>51</v>
      </c>
      <c r="T14" s="9"/>
      <c r="U14" s="9"/>
      <c r="V14" s="9"/>
      <c r="W14" s="9"/>
      <c r="X14" s="9" t="s">
        <v>103</v>
      </c>
    </row>
    <row r="15" spans="1:24" ht="113.25" customHeight="1" x14ac:dyDescent="0.25">
      <c r="A15" s="9" t="s">
        <v>104</v>
      </c>
      <c r="B15" s="10">
        <v>46288</v>
      </c>
      <c r="C15" s="11">
        <v>0.55618055555555601</v>
      </c>
      <c r="D15" s="9" t="s">
        <v>40</v>
      </c>
      <c r="E15" s="9" t="s">
        <v>90</v>
      </c>
      <c r="F15" s="9" t="s">
        <v>42</v>
      </c>
      <c r="G15" s="9" t="s">
        <v>43</v>
      </c>
      <c r="H15" s="9" t="s">
        <v>82</v>
      </c>
      <c r="I15" s="9" t="s">
        <v>87</v>
      </c>
      <c r="J15" s="9" t="s">
        <v>100</v>
      </c>
      <c r="K15" s="9"/>
      <c r="L15" s="9"/>
      <c r="M15" s="9"/>
      <c r="N15" s="9" t="s">
        <v>105</v>
      </c>
      <c r="O15" s="9" t="s">
        <v>106</v>
      </c>
      <c r="P15" s="9"/>
      <c r="Q15" s="9"/>
      <c r="R15" s="9" t="s">
        <v>50</v>
      </c>
      <c r="S15" s="9" t="s">
        <v>51</v>
      </c>
      <c r="T15" s="9"/>
      <c r="U15" s="9" t="s">
        <v>107</v>
      </c>
      <c r="V15" s="9"/>
      <c r="W15" s="9"/>
      <c r="X15" s="9"/>
    </row>
    <row r="16" spans="1:24" ht="68.25" customHeight="1" x14ac:dyDescent="0.25">
      <c r="A16" s="9" t="s">
        <v>108</v>
      </c>
      <c r="B16" s="10">
        <v>46288</v>
      </c>
      <c r="C16" s="11">
        <v>0.55784722222222205</v>
      </c>
      <c r="D16" s="9" t="s">
        <v>40</v>
      </c>
      <c r="E16" s="9" t="s">
        <v>90</v>
      </c>
      <c r="F16" s="9" t="s">
        <v>42</v>
      </c>
      <c r="G16" s="9" t="s">
        <v>43</v>
      </c>
      <c r="H16" s="9" t="s">
        <v>82</v>
      </c>
      <c r="I16" s="9" t="s">
        <v>87</v>
      </c>
      <c r="J16" s="9" t="s">
        <v>100</v>
      </c>
      <c r="K16" s="9"/>
      <c r="L16" s="9"/>
      <c r="M16" s="9"/>
      <c r="N16" s="9" t="s">
        <v>109</v>
      </c>
      <c r="O16" s="9" t="s">
        <v>110</v>
      </c>
      <c r="P16" s="9"/>
      <c r="Q16" s="9"/>
      <c r="R16" s="9" t="s">
        <v>50</v>
      </c>
      <c r="S16" s="9" t="s">
        <v>51</v>
      </c>
      <c r="T16" s="9"/>
      <c r="U16" s="9"/>
      <c r="V16" s="9"/>
      <c r="W16" s="9"/>
      <c r="X16" s="9"/>
    </row>
    <row r="17" spans="1:24" ht="90.75" customHeight="1" x14ac:dyDescent="0.25">
      <c r="A17" s="9" t="s">
        <v>111</v>
      </c>
      <c r="B17" s="10">
        <v>46289</v>
      </c>
      <c r="C17" s="11">
        <v>0.441539351851852</v>
      </c>
      <c r="D17" s="9" t="s">
        <v>40</v>
      </c>
      <c r="E17" s="9" t="s">
        <v>112</v>
      </c>
      <c r="F17" s="9" t="s">
        <v>42</v>
      </c>
      <c r="G17" s="9" t="s">
        <v>43</v>
      </c>
      <c r="H17" s="9" t="s">
        <v>82</v>
      </c>
      <c r="I17" s="9" t="s">
        <v>91</v>
      </c>
      <c r="J17" s="9" t="s">
        <v>113</v>
      </c>
      <c r="K17" s="9"/>
      <c r="L17" s="9"/>
      <c r="M17" s="9"/>
      <c r="N17" s="9" t="s">
        <v>114</v>
      </c>
      <c r="O17" s="9"/>
      <c r="P17" s="9"/>
      <c r="Q17" s="9"/>
      <c r="R17" s="9" t="s">
        <v>50</v>
      </c>
      <c r="S17" s="9" t="s">
        <v>51</v>
      </c>
      <c r="T17" s="9"/>
      <c r="U17" s="9"/>
      <c r="V17" s="9"/>
      <c r="W17" s="9"/>
      <c r="X17" s="9" t="s">
        <v>115</v>
      </c>
    </row>
    <row r="18" spans="1:24" ht="23.25" customHeight="1" x14ac:dyDescent="0.25">
      <c r="A18" s="9" t="s">
        <v>116</v>
      </c>
      <c r="B18" s="10">
        <v>46289</v>
      </c>
      <c r="C18" s="11">
        <v>0.441655092592593</v>
      </c>
      <c r="D18" s="9" t="s">
        <v>40</v>
      </c>
      <c r="E18" s="9" t="s">
        <v>112</v>
      </c>
      <c r="F18" s="9" t="s">
        <v>42</v>
      </c>
      <c r="G18" s="9" t="s">
        <v>43</v>
      </c>
      <c r="H18" s="9" t="s">
        <v>82</v>
      </c>
      <c r="I18" s="9" t="s">
        <v>44</v>
      </c>
      <c r="J18" s="9" t="s">
        <v>113</v>
      </c>
      <c r="K18" s="9" t="s">
        <v>117</v>
      </c>
      <c r="L18" s="9" t="s">
        <v>118</v>
      </c>
      <c r="M18" s="9"/>
      <c r="N18" s="9" t="s">
        <v>119</v>
      </c>
      <c r="O18" s="9"/>
      <c r="P18" s="9"/>
      <c r="Q18" s="9"/>
      <c r="R18" s="9" t="s">
        <v>50</v>
      </c>
      <c r="S18" s="9" t="s">
        <v>51</v>
      </c>
      <c r="T18" s="9"/>
      <c r="U18" s="9"/>
      <c r="V18" s="9"/>
      <c r="W18" s="9"/>
      <c r="X18" s="9"/>
    </row>
    <row r="19" spans="1:24" ht="57" customHeight="1" x14ac:dyDescent="0.25">
      <c r="A19" s="9" t="s">
        <v>120</v>
      </c>
      <c r="B19" s="10">
        <v>46289</v>
      </c>
      <c r="C19" s="11">
        <v>0.45756944444444397</v>
      </c>
      <c r="D19" s="9" t="s">
        <v>40</v>
      </c>
      <c r="E19" s="9" t="s">
        <v>112</v>
      </c>
      <c r="F19" s="9" t="s">
        <v>42</v>
      </c>
      <c r="G19" s="9" t="s">
        <v>43</v>
      </c>
      <c r="H19" s="9" t="s">
        <v>82</v>
      </c>
      <c r="I19" s="9" t="s">
        <v>44</v>
      </c>
      <c r="J19" s="9" t="s">
        <v>121</v>
      </c>
      <c r="K19" s="9" t="s">
        <v>122</v>
      </c>
      <c r="L19" s="9" t="s">
        <v>123</v>
      </c>
      <c r="M19" s="9"/>
      <c r="N19" s="9" t="s">
        <v>124</v>
      </c>
      <c r="O19" s="9" t="s">
        <v>125</v>
      </c>
      <c r="P19" s="9"/>
      <c r="Q19" s="9"/>
      <c r="R19" s="9" t="s">
        <v>50</v>
      </c>
      <c r="S19" s="9" t="s">
        <v>51</v>
      </c>
      <c r="T19" s="9"/>
      <c r="U19" s="9"/>
      <c r="V19" s="9"/>
      <c r="W19" s="9"/>
      <c r="X19" s="9"/>
    </row>
    <row r="20" spans="1:24" ht="57" customHeight="1" x14ac:dyDescent="0.25">
      <c r="A20" s="9" t="s">
        <v>126</v>
      </c>
      <c r="B20" s="10">
        <v>46289</v>
      </c>
      <c r="C20" s="11">
        <v>0.45756944444444397</v>
      </c>
      <c r="D20" s="9" t="s">
        <v>40</v>
      </c>
      <c r="E20" s="9" t="s">
        <v>112</v>
      </c>
      <c r="F20" s="9" t="s">
        <v>42</v>
      </c>
      <c r="G20" s="9" t="s">
        <v>43</v>
      </c>
      <c r="H20" s="9" t="s">
        <v>82</v>
      </c>
      <c r="I20" s="9" t="s">
        <v>127</v>
      </c>
      <c r="J20" s="9" t="s">
        <v>121</v>
      </c>
      <c r="K20" s="9"/>
      <c r="L20" s="9"/>
      <c r="M20" s="9"/>
      <c r="N20" s="9" t="s">
        <v>128</v>
      </c>
      <c r="O20" s="9"/>
      <c r="P20" s="9"/>
      <c r="Q20" s="9"/>
      <c r="R20" s="9" t="s">
        <v>50</v>
      </c>
      <c r="S20" s="9" t="s">
        <v>51</v>
      </c>
      <c r="T20" s="9"/>
      <c r="U20" s="9"/>
      <c r="V20" s="9"/>
      <c r="W20" s="9"/>
      <c r="X20" s="9"/>
    </row>
    <row r="21" spans="1:24" ht="124.5" customHeight="1" x14ac:dyDescent="0.25">
      <c r="A21" s="9" t="s">
        <v>129</v>
      </c>
      <c r="B21" s="10">
        <v>46289</v>
      </c>
      <c r="C21" s="11">
        <v>0.68884259259259295</v>
      </c>
      <c r="D21" s="9" t="s">
        <v>40</v>
      </c>
      <c r="E21" s="9" t="s">
        <v>112</v>
      </c>
      <c r="F21" s="9" t="s">
        <v>42</v>
      </c>
      <c r="G21" s="9" t="s">
        <v>43</v>
      </c>
      <c r="H21" s="9" t="s">
        <v>82</v>
      </c>
      <c r="I21" s="9" t="s">
        <v>91</v>
      </c>
      <c r="J21" s="9" t="s">
        <v>130</v>
      </c>
      <c r="K21" s="9"/>
      <c r="L21" s="9"/>
      <c r="M21" s="9"/>
      <c r="N21" s="9" t="s">
        <v>131</v>
      </c>
      <c r="O21" s="9"/>
      <c r="P21" s="9"/>
      <c r="Q21" s="9"/>
      <c r="R21" s="9" t="s">
        <v>50</v>
      </c>
      <c r="S21" s="9" t="s">
        <v>51</v>
      </c>
      <c r="T21" s="9"/>
      <c r="U21" s="9"/>
      <c r="V21" s="9"/>
      <c r="W21" s="9"/>
      <c r="X21" s="9" t="s">
        <v>132</v>
      </c>
    </row>
    <row r="22" spans="1:24" ht="68.25" customHeight="1" x14ac:dyDescent="0.25">
      <c r="A22" s="9" t="s">
        <v>133</v>
      </c>
      <c r="B22" s="10">
        <v>46289</v>
      </c>
      <c r="C22" s="11">
        <v>0.68885416666666699</v>
      </c>
      <c r="D22" s="9" t="s">
        <v>40</v>
      </c>
      <c r="E22" s="9" t="s">
        <v>112</v>
      </c>
      <c r="F22" s="9" t="s">
        <v>42</v>
      </c>
      <c r="G22" s="9" t="s">
        <v>43</v>
      </c>
      <c r="H22" s="9" t="s">
        <v>82</v>
      </c>
      <c r="I22" s="9" t="s">
        <v>60</v>
      </c>
      <c r="J22" s="9" t="s">
        <v>130</v>
      </c>
      <c r="K22" s="9"/>
      <c r="L22" s="9"/>
      <c r="M22" s="9"/>
      <c r="N22" s="9" t="s">
        <v>134</v>
      </c>
      <c r="O22" s="9" t="s">
        <v>135</v>
      </c>
      <c r="P22" s="9"/>
      <c r="Q22" s="9"/>
      <c r="R22" s="9" t="s">
        <v>50</v>
      </c>
      <c r="S22" s="9" t="s">
        <v>51</v>
      </c>
      <c r="T22" s="9"/>
      <c r="U22" s="9" t="s">
        <v>136</v>
      </c>
      <c r="V22" s="9"/>
      <c r="W22" s="9"/>
      <c r="X22" s="9"/>
    </row>
    <row r="23" spans="1:24" ht="23.25" customHeight="1" x14ac:dyDescent="0.25">
      <c r="A23" s="9" t="s">
        <v>137</v>
      </c>
      <c r="B23" s="10">
        <v>46289</v>
      </c>
      <c r="C23" s="11">
        <v>0.68907407407407395</v>
      </c>
      <c r="D23" s="9" t="s">
        <v>40</v>
      </c>
      <c r="E23" s="9" t="s">
        <v>112</v>
      </c>
      <c r="F23" s="9" t="s">
        <v>42</v>
      </c>
      <c r="G23" s="9" t="s">
        <v>43</v>
      </c>
      <c r="H23" s="9" t="s">
        <v>82</v>
      </c>
      <c r="I23" s="9" t="s">
        <v>44</v>
      </c>
      <c r="J23" s="9" t="s">
        <v>130</v>
      </c>
      <c r="K23" s="9" t="s">
        <v>138</v>
      </c>
      <c r="L23" s="9" t="s">
        <v>139</v>
      </c>
      <c r="M23" s="9"/>
      <c r="N23" s="9" t="s">
        <v>140</v>
      </c>
      <c r="O23" s="9"/>
      <c r="P23" s="9"/>
      <c r="Q23" s="9"/>
      <c r="R23" s="9" t="s">
        <v>50</v>
      </c>
      <c r="S23" s="9" t="s">
        <v>51</v>
      </c>
      <c r="T23" s="9"/>
      <c r="U23" s="9"/>
      <c r="V23" s="9"/>
      <c r="W23" s="9"/>
      <c r="X23" s="9"/>
    </row>
    <row r="24" spans="1:24" ht="23.25" customHeight="1" x14ac:dyDescent="0.25">
      <c r="A24" s="9" t="s">
        <v>141</v>
      </c>
      <c r="B24" s="10">
        <v>46289</v>
      </c>
      <c r="C24" s="11">
        <v>0.68907407407407395</v>
      </c>
      <c r="D24" s="9" t="s">
        <v>40</v>
      </c>
      <c r="E24" s="9" t="s">
        <v>112</v>
      </c>
      <c r="F24" s="9" t="s">
        <v>42</v>
      </c>
      <c r="G24" s="9" t="s">
        <v>43</v>
      </c>
      <c r="H24" s="9" t="s">
        <v>82</v>
      </c>
      <c r="I24" s="9" t="s">
        <v>44</v>
      </c>
      <c r="J24" s="9" t="s">
        <v>130</v>
      </c>
      <c r="K24" s="9" t="s">
        <v>142</v>
      </c>
      <c r="L24" s="9" t="s">
        <v>143</v>
      </c>
      <c r="M24" s="9"/>
      <c r="N24" s="9" t="s">
        <v>144</v>
      </c>
      <c r="O24" s="9"/>
      <c r="P24" s="9"/>
      <c r="Q24" s="9"/>
      <c r="R24" s="9" t="s">
        <v>50</v>
      </c>
      <c r="S24" s="9" t="s">
        <v>51</v>
      </c>
      <c r="T24" s="9"/>
      <c r="U24" s="9"/>
      <c r="V24" s="9"/>
      <c r="W24" s="9"/>
      <c r="X24" s="9"/>
    </row>
    <row r="25" spans="1:24" ht="102" customHeight="1" x14ac:dyDescent="0.25">
      <c r="A25" s="9" t="s">
        <v>145</v>
      </c>
      <c r="B25" s="10">
        <v>46289</v>
      </c>
      <c r="C25" s="11">
        <v>0.69363425925925903</v>
      </c>
      <c r="D25" s="9" t="s">
        <v>40</v>
      </c>
      <c r="E25" s="9" t="s">
        <v>112</v>
      </c>
      <c r="F25" s="9" t="s">
        <v>42</v>
      </c>
      <c r="G25" s="9" t="s">
        <v>43</v>
      </c>
      <c r="H25" s="9" t="s">
        <v>82</v>
      </c>
      <c r="I25" s="9" t="s">
        <v>146</v>
      </c>
      <c r="J25" s="9" t="s">
        <v>147</v>
      </c>
      <c r="K25" s="9"/>
      <c r="L25" s="9"/>
      <c r="M25" s="9"/>
      <c r="N25" s="9" t="s">
        <v>148</v>
      </c>
      <c r="O25" s="9"/>
      <c r="P25" s="9"/>
      <c r="Q25" s="9"/>
      <c r="R25" s="9" t="s">
        <v>50</v>
      </c>
      <c r="S25" s="9" t="s">
        <v>51</v>
      </c>
      <c r="T25" s="9"/>
      <c r="U25" s="9"/>
      <c r="V25" s="9"/>
      <c r="W25" s="9"/>
      <c r="X25" s="9" t="s">
        <v>149</v>
      </c>
    </row>
    <row r="26" spans="1:24" ht="124.5" customHeight="1" x14ac:dyDescent="0.25">
      <c r="A26" s="9" t="s">
        <v>150</v>
      </c>
      <c r="B26" s="10">
        <v>46289</v>
      </c>
      <c r="C26" s="11">
        <v>0.969212962962963</v>
      </c>
      <c r="D26" s="9" t="s">
        <v>40</v>
      </c>
      <c r="E26" s="9" t="s">
        <v>112</v>
      </c>
      <c r="F26" s="9" t="s">
        <v>42</v>
      </c>
      <c r="G26" s="9" t="s">
        <v>43</v>
      </c>
      <c r="H26" s="9" t="s">
        <v>82</v>
      </c>
      <c r="I26" s="9" t="s">
        <v>127</v>
      </c>
      <c r="J26" s="9" t="s">
        <v>151</v>
      </c>
      <c r="K26" s="9"/>
      <c r="L26" s="9"/>
      <c r="M26" s="9"/>
      <c r="N26" s="9" t="s">
        <v>152</v>
      </c>
      <c r="O26" s="9" t="s">
        <v>153</v>
      </c>
      <c r="P26" s="9"/>
      <c r="Q26" s="9"/>
      <c r="R26" s="9" t="s">
        <v>50</v>
      </c>
      <c r="S26" s="9" t="s">
        <v>51</v>
      </c>
      <c r="T26" s="9"/>
      <c r="U26" s="9"/>
      <c r="V26" s="9"/>
      <c r="W26" s="9"/>
      <c r="X26" s="9"/>
    </row>
    <row r="27" spans="1:24" ht="90.75" customHeight="1" x14ac:dyDescent="0.25">
      <c r="A27" s="9" t="s">
        <v>154</v>
      </c>
      <c r="B27" s="10">
        <v>46289</v>
      </c>
      <c r="C27" s="11">
        <v>0.969212962962963</v>
      </c>
      <c r="D27" s="9" t="s">
        <v>40</v>
      </c>
      <c r="E27" s="9" t="s">
        <v>112</v>
      </c>
      <c r="F27" s="9" t="s">
        <v>42</v>
      </c>
      <c r="G27" s="9" t="s">
        <v>43</v>
      </c>
      <c r="H27" s="9" t="s">
        <v>82</v>
      </c>
      <c r="I27" s="9" t="s">
        <v>127</v>
      </c>
      <c r="J27" s="9" t="s">
        <v>151</v>
      </c>
      <c r="K27" s="9"/>
      <c r="L27" s="9"/>
      <c r="M27" s="9"/>
      <c r="N27" s="9" t="s">
        <v>155</v>
      </c>
      <c r="O27" s="9" t="s">
        <v>156</v>
      </c>
      <c r="P27" s="9"/>
      <c r="Q27" s="9"/>
      <c r="R27" s="9" t="s">
        <v>50</v>
      </c>
      <c r="S27" s="9" t="s">
        <v>51</v>
      </c>
      <c r="T27" s="9"/>
      <c r="U27" s="9"/>
      <c r="V27" s="9"/>
      <c r="W27" s="9"/>
      <c r="X27" s="9"/>
    </row>
    <row r="28" spans="1:24" ht="124.5" customHeight="1" x14ac:dyDescent="0.25">
      <c r="A28" s="9" t="s">
        <v>157</v>
      </c>
      <c r="B28" s="10">
        <v>46290</v>
      </c>
      <c r="C28" s="11">
        <v>0.58055555555555605</v>
      </c>
      <c r="D28" s="9" t="s">
        <v>40</v>
      </c>
      <c r="E28" s="9" t="s">
        <v>158</v>
      </c>
      <c r="F28" s="9" t="s">
        <v>42</v>
      </c>
      <c r="G28" s="9" t="s">
        <v>43</v>
      </c>
      <c r="H28" s="9" t="s">
        <v>82</v>
      </c>
      <c r="I28" s="9" t="s">
        <v>127</v>
      </c>
      <c r="J28" s="9" t="s">
        <v>159</v>
      </c>
      <c r="K28" s="9"/>
      <c r="L28" s="9"/>
      <c r="M28" s="9"/>
      <c r="N28" s="9" t="s">
        <v>160</v>
      </c>
      <c r="O28" s="9" t="s">
        <v>161</v>
      </c>
      <c r="P28" s="9"/>
      <c r="Q28" s="9"/>
      <c r="R28" s="9" t="s">
        <v>50</v>
      </c>
      <c r="S28" s="9" t="s">
        <v>51</v>
      </c>
      <c r="T28" s="9"/>
      <c r="U28" s="9"/>
      <c r="V28" s="9"/>
      <c r="W28" s="9"/>
      <c r="X28" s="9"/>
    </row>
    <row r="29" spans="1:24" ht="68.25" customHeight="1" x14ac:dyDescent="0.25">
      <c r="A29" s="9" t="s">
        <v>162</v>
      </c>
      <c r="B29" s="10">
        <v>46290</v>
      </c>
      <c r="C29" s="11">
        <v>0.58055555555555605</v>
      </c>
      <c r="D29" s="9" t="s">
        <v>40</v>
      </c>
      <c r="E29" s="9" t="s">
        <v>158</v>
      </c>
      <c r="F29" s="9" t="s">
        <v>42</v>
      </c>
      <c r="G29" s="9" t="s">
        <v>43</v>
      </c>
      <c r="H29" s="9" t="s">
        <v>82</v>
      </c>
      <c r="I29" s="9" t="s">
        <v>127</v>
      </c>
      <c r="J29" s="9" t="s">
        <v>159</v>
      </c>
      <c r="K29" s="9"/>
      <c r="L29" s="9"/>
      <c r="M29" s="9"/>
      <c r="N29" s="9" t="s">
        <v>163</v>
      </c>
      <c r="O29" s="9"/>
      <c r="P29" s="9"/>
      <c r="Q29" s="9"/>
      <c r="R29" s="9" t="s">
        <v>50</v>
      </c>
      <c r="S29" s="9" t="s">
        <v>51</v>
      </c>
      <c r="T29" s="9"/>
      <c r="U29" s="9"/>
      <c r="V29" s="9"/>
      <c r="W29" s="9"/>
      <c r="X29" s="9"/>
    </row>
    <row r="30" spans="1:24" ht="68.25" customHeight="1" x14ac:dyDescent="0.25">
      <c r="A30" s="9" t="s">
        <v>164</v>
      </c>
      <c r="B30" s="10">
        <v>46290</v>
      </c>
      <c r="C30" s="11">
        <v>0.59855324074074101</v>
      </c>
      <c r="D30" s="9" t="s">
        <v>40</v>
      </c>
      <c r="E30" s="9" t="s">
        <v>158</v>
      </c>
      <c r="F30" s="9" t="s">
        <v>42</v>
      </c>
      <c r="G30" s="9" t="s">
        <v>43</v>
      </c>
      <c r="H30" s="9" t="s">
        <v>82</v>
      </c>
      <c r="I30" s="9" t="s">
        <v>44</v>
      </c>
      <c r="J30" s="9" t="s">
        <v>165</v>
      </c>
      <c r="K30" s="9" t="s">
        <v>166</v>
      </c>
      <c r="L30" s="9" t="s">
        <v>167</v>
      </c>
      <c r="M30" s="9"/>
      <c r="N30" s="9" t="s">
        <v>168</v>
      </c>
      <c r="O30" s="9"/>
      <c r="P30" s="9"/>
      <c r="Q30" s="9"/>
      <c r="R30" s="9" t="s">
        <v>50</v>
      </c>
      <c r="S30" s="9" t="s">
        <v>51</v>
      </c>
      <c r="T30" s="9"/>
      <c r="U30" s="9"/>
      <c r="V30" s="9"/>
      <c r="W30" s="9"/>
      <c r="X30" s="9"/>
    </row>
    <row r="31" spans="1:24" ht="168.75" customHeight="1" x14ac:dyDescent="0.25">
      <c r="A31" s="9" t="s">
        <v>169</v>
      </c>
      <c r="B31" s="10">
        <v>46290</v>
      </c>
      <c r="C31" s="11">
        <v>0.59856481481481505</v>
      </c>
      <c r="D31" s="9" t="s">
        <v>40</v>
      </c>
      <c r="E31" s="9" t="s">
        <v>158</v>
      </c>
      <c r="F31" s="9" t="s">
        <v>42</v>
      </c>
      <c r="G31" s="9" t="s">
        <v>43</v>
      </c>
      <c r="H31" s="9" t="s">
        <v>82</v>
      </c>
      <c r="I31" s="9" t="s">
        <v>91</v>
      </c>
      <c r="J31" s="9" t="s">
        <v>165</v>
      </c>
      <c r="K31" s="9"/>
      <c r="L31" s="9"/>
      <c r="M31" s="9"/>
      <c r="N31" s="9" t="s">
        <v>170</v>
      </c>
      <c r="O31" s="9"/>
      <c r="P31" s="9"/>
      <c r="Q31" s="9"/>
      <c r="R31" s="9" t="s">
        <v>50</v>
      </c>
      <c r="S31" s="9" t="s">
        <v>51</v>
      </c>
      <c r="T31" s="9"/>
      <c r="U31" s="9"/>
      <c r="V31" s="9"/>
      <c r="W31" s="9"/>
      <c r="X31" s="9" t="s">
        <v>171</v>
      </c>
    </row>
    <row r="32" spans="1:24" ht="45.75" customHeight="1" x14ac:dyDescent="0.25">
      <c r="A32" s="9" t="s">
        <v>172</v>
      </c>
      <c r="B32" s="10">
        <v>46290</v>
      </c>
      <c r="C32" s="11">
        <v>0.60289351851851902</v>
      </c>
      <c r="D32" s="9" t="s">
        <v>40</v>
      </c>
      <c r="E32" s="9" t="s">
        <v>158</v>
      </c>
      <c r="F32" s="9" t="s">
        <v>42</v>
      </c>
      <c r="G32" s="9" t="s">
        <v>43</v>
      </c>
      <c r="H32" s="9" t="s">
        <v>82</v>
      </c>
      <c r="I32" s="9" t="s">
        <v>44</v>
      </c>
      <c r="J32" s="9" t="s">
        <v>165</v>
      </c>
      <c r="K32" s="9"/>
      <c r="L32" s="9"/>
      <c r="M32" s="9"/>
      <c r="N32" s="9" t="s">
        <v>173</v>
      </c>
      <c r="O32" s="9"/>
      <c r="P32" s="9"/>
      <c r="Q32" s="9"/>
      <c r="R32" s="9" t="s">
        <v>50</v>
      </c>
      <c r="S32" s="9" t="s">
        <v>51</v>
      </c>
      <c r="T32" s="9"/>
      <c r="U32" s="9"/>
      <c r="V32" s="9"/>
      <c r="W32" s="9"/>
      <c r="X32" s="9"/>
    </row>
    <row r="33" spans="1:24" ht="23.25" customHeight="1" x14ac:dyDescent="0.25">
      <c r="A33" s="9" t="s">
        <v>174</v>
      </c>
      <c r="B33" s="10">
        <v>46290</v>
      </c>
      <c r="C33" s="11">
        <v>0.60295138888888899</v>
      </c>
      <c r="D33" s="9" t="s">
        <v>40</v>
      </c>
      <c r="E33" s="9" t="s">
        <v>158</v>
      </c>
      <c r="F33" s="9" t="s">
        <v>42</v>
      </c>
      <c r="G33" s="9" t="s">
        <v>43</v>
      </c>
      <c r="H33" s="9" t="s">
        <v>82</v>
      </c>
      <c r="I33" s="9" t="s">
        <v>44</v>
      </c>
      <c r="J33" s="9" t="s">
        <v>165</v>
      </c>
      <c r="K33" s="9" t="s">
        <v>175</v>
      </c>
      <c r="L33" s="9" t="s">
        <v>176</v>
      </c>
      <c r="M33" s="9"/>
      <c r="N33" s="9" t="s">
        <v>177</v>
      </c>
      <c r="O33" s="9"/>
      <c r="P33" s="9"/>
      <c r="Q33" s="9"/>
      <c r="R33" s="9" t="s">
        <v>50</v>
      </c>
      <c r="S33" s="9" t="s">
        <v>51</v>
      </c>
      <c r="T33" s="9"/>
      <c r="U33" s="9"/>
      <c r="V33" s="9"/>
      <c r="W33" s="9"/>
      <c r="X33" s="9"/>
    </row>
    <row r="34" spans="1:24" ht="180" customHeight="1" x14ac:dyDescent="0.25">
      <c r="A34" s="9" t="s">
        <v>178</v>
      </c>
      <c r="B34" s="10">
        <v>46290</v>
      </c>
      <c r="C34" s="11">
        <v>0.61817129629629597</v>
      </c>
      <c r="D34" s="9" t="s">
        <v>40</v>
      </c>
      <c r="E34" s="9" t="s">
        <v>158</v>
      </c>
      <c r="F34" s="9" t="s">
        <v>42</v>
      </c>
      <c r="G34" s="9" t="s">
        <v>43</v>
      </c>
      <c r="H34" s="9" t="s">
        <v>82</v>
      </c>
      <c r="I34" s="9" t="s">
        <v>91</v>
      </c>
      <c r="J34" s="9" t="s">
        <v>165</v>
      </c>
      <c r="K34" s="9"/>
      <c r="L34" s="9"/>
      <c r="M34" s="9"/>
      <c r="N34" s="9" t="s">
        <v>179</v>
      </c>
      <c r="O34" s="9"/>
      <c r="P34" s="9"/>
      <c r="Q34" s="9"/>
      <c r="R34" s="9" t="s">
        <v>50</v>
      </c>
      <c r="S34" s="9" t="s">
        <v>51</v>
      </c>
      <c r="T34" s="9"/>
      <c r="U34" s="9"/>
      <c r="V34" s="9"/>
      <c r="W34" s="9"/>
      <c r="X34" s="9" t="s">
        <v>180</v>
      </c>
    </row>
    <row r="35" spans="1:24" ht="57" customHeight="1" x14ac:dyDescent="0.25">
      <c r="A35" s="9" t="s">
        <v>181</v>
      </c>
      <c r="B35" s="10">
        <v>46290</v>
      </c>
      <c r="C35" s="11">
        <v>0.61965277777777805</v>
      </c>
      <c r="D35" s="9" t="s">
        <v>40</v>
      </c>
      <c r="E35" s="9" t="s">
        <v>158</v>
      </c>
      <c r="F35" s="9" t="s">
        <v>42</v>
      </c>
      <c r="G35" s="9" t="s">
        <v>43</v>
      </c>
      <c r="H35" s="9" t="s">
        <v>82</v>
      </c>
      <c r="I35" s="9" t="s">
        <v>60</v>
      </c>
      <c r="J35" s="9" t="s">
        <v>165</v>
      </c>
      <c r="K35" s="9"/>
      <c r="L35" s="9"/>
      <c r="M35" s="9"/>
      <c r="N35" s="9" t="s">
        <v>182</v>
      </c>
      <c r="O35" s="9" t="s">
        <v>183</v>
      </c>
      <c r="P35" s="9"/>
      <c r="Q35" s="9"/>
      <c r="R35" s="9" t="s">
        <v>50</v>
      </c>
      <c r="S35" s="9" t="s">
        <v>51</v>
      </c>
      <c r="T35" s="9"/>
      <c r="U35" s="9" t="s">
        <v>184</v>
      </c>
      <c r="V35" s="9"/>
      <c r="W35" s="9"/>
      <c r="X35" s="9"/>
    </row>
    <row r="36" spans="1:24" ht="34.5" customHeight="1" x14ac:dyDescent="0.25">
      <c r="A36" s="9" t="s">
        <v>185</v>
      </c>
      <c r="B36" s="10">
        <v>46290</v>
      </c>
      <c r="C36" s="11">
        <v>0.78525462962963</v>
      </c>
      <c r="D36" s="9" t="s">
        <v>40</v>
      </c>
      <c r="E36" s="9" t="s">
        <v>158</v>
      </c>
      <c r="F36" s="9" t="s">
        <v>42</v>
      </c>
      <c r="G36" s="9" t="s">
        <v>43</v>
      </c>
      <c r="H36" s="9" t="s">
        <v>82</v>
      </c>
      <c r="I36" s="9" t="s">
        <v>186</v>
      </c>
      <c r="J36" s="9" t="s">
        <v>165</v>
      </c>
      <c r="K36" s="9" t="s">
        <v>166</v>
      </c>
      <c r="L36" s="9" t="s">
        <v>167</v>
      </c>
      <c r="M36" s="9"/>
      <c r="N36" s="9" t="s">
        <v>187</v>
      </c>
      <c r="O36" s="9"/>
      <c r="P36" s="9"/>
      <c r="Q36" s="9"/>
      <c r="R36" s="9" t="s">
        <v>50</v>
      </c>
      <c r="S36" s="9" t="s">
        <v>51</v>
      </c>
      <c r="T36" s="9"/>
      <c r="U36" s="9"/>
      <c r="V36" s="9"/>
      <c r="W36" s="9"/>
      <c r="X36" s="9"/>
    </row>
    <row r="37" spans="1:24" ht="57" customHeight="1" x14ac:dyDescent="0.25">
      <c r="A37" s="9" t="s">
        <v>188</v>
      </c>
      <c r="B37" s="10">
        <v>46290</v>
      </c>
      <c r="C37" s="11">
        <v>0.78525462962963</v>
      </c>
      <c r="D37" s="9" t="s">
        <v>40</v>
      </c>
      <c r="E37" s="9" t="s">
        <v>158</v>
      </c>
      <c r="F37" s="9" t="s">
        <v>42</v>
      </c>
      <c r="G37" s="9" t="s">
        <v>43</v>
      </c>
      <c r="H37" s="9" t="s">
        <v>82</v>
      </c>
      <c r="I37" s="9" t="s">
        <v>91</v>
      </c>
      <c r="J37" s="9" t="s">
        <v>165</v>
      </c>
      <c r="K37" s="9"/>
      <c r="L37" s="9"/>
      <c r="M37" s="9"/>
      <c r="N37" s="9" t="s">
        <v>189</v>
      </c>
      <c r="O37" s="9"/>
      <c r="P37" s="9"/>
      <c r="Q37" s="9"/>
      <c r="R37" s="9" t="s">
        <v>50</v>
      </c>
      <c r="S37" s="9" t="s">
        <v>51</v>
      </c>
      <c r="T37" s="9"/>
      <c r="U37" s="9"/>
      <c r="V37" s="9"/>
      <c r="W37" s="9"/>
      <c r="X37" s="9" t="s">
        <v>190</v>
      </c>
    </row>
    <row r="38" spans="1:24" ht="23.25" customHeight="1" x14ac:dyDescent="0.25">
      <c r="A38" s="9" t="s">
        <v>191</v>
      </c>
      <c r="B38" s="10">
        <v>46290</v>
      </c>
      <c r="C38" s="11">
        <v>0.78899305555555599</v>
      </c>
      <c r="D38" s="9" t="s">
        <v>40</v>
      </c>
      <c r="E38" s="9" t="s">
        <v>158</v>
      </c>
      <c r="F38" s="9" t="s">
        <v>42</v>
      </c>
      <c r="G38" s="9" t="s">
        <v>43</v>
      </c>
      <c r="H38" s="9" t="s">
        <v>82</v>
      </c>
      <c r="I38" s="9" t="s">
        <v>44</v>
      </c>
      <c r="J38" s="9" t="s">
        <v>165</v>
      </c>
      <c r="K38" s="9" t="s">
        <v>192</v>
      </c>
      <c r="L38" s="9" t="s">
        <v>193</v>
      </c>
      <c r="M38" s="9"/>
      <c r="N38" s="9" t="s">
        <v>194</v>
      </c>
      <c r="O38" s="9"/>
      <c r="P38" s="9"/>
      <c r="Q38" s="9"/>
      <c r="R38" s="9" t="s">
        <v>50</v>
      </c>
      <c r="S38" s="9" t="s">
        <v>51</v>
      </c>
      <c r="T38" s="9"/>
      <c r="U38" s="9"/>
      <c r="V38" s="9"/>
      <c r="W38" s="9"/>
      <c r="X38" s="9"/>
    </row>
    <row r="39" spans="1:24" ht="34.5" customHeight="1" x14ac:dyDescent="0.25">
      <c r="A39" s="9" t="s">
        <v>195</v>
      </c>
      <c r="B39" s="10">
        <v>46290</v>
      </c>
      <c r="C39" s="11">
        <v>0.79274305555555602</v>
      </c>
      <c r="D39" s="9" t="s">
        <v>40</v>
      </c>
      <c r="E39" s="9" t="s">
        <v>158</v>
      </c>
      <c r="F39" s="9" t="s">
        <v>42</v>
      </c>
      <c r="G39" s="9" t="s">
        <v>43</v>
      </c>
      <c r="H39" s="9" t="s">
        <v>82</v>
      </c>
      <c r="I39" s="9" t="s">
        <v>44</v>
      </c>
      <c r="J39" s="9" t="s">
        <v>165</v>
      </c>
      <c r="K39" s="9" t="s">
        <v>196</v>
      </c>
      <c r="L39" s="9" t="s">
        <v>197</v>
      </c>
      <c r="M39" s="9"/>
      <c r="N39" s="9" t="s">
        <v>198</v>
      </c>
      <c r="O39" s="9"/>
      <c r="P39" s="9"/>
      <c r="Q39" s="9"/>
      <c r="R39" s="9" t="s">
        <v>50</v>
      </c>
      <c r="S39" s="9" t="s">
        <v>51</v>
      </c>
      <c r="T39" s="9" t="s">
        <v>199</v>
      </c>
      <c r="U39" s="9"/>
      <c r="V39" s="9"/>
      <c r="W39" s="9"/>
      <c r="X39" s="9"/>
    </row>
    <row r="40" spans="1:24" ht="57" customHeight="1" x14ac:dyDescent="0.25">
      <c r="A40" s="9" t="s">
        <v>200</v>
      </c>
      <c r="B40" s="10">
        <v>46291</v>
      </c>
      <c r="C40" s="11">
        <v>0.39013888888888898</v>
      </c>
      <c r="D40" s="9" t="s">
        <v>40</v>
      </c>
      <c r="E40" s="9" t="s">
        <v>201</v>
      </c>
      <c r="F40" s="9" t="s">
        <v>42</v>
      </c>
      <c r="G40" s="9" t="s">
        <v>43</v>
      </c>
      <c r="H40" s="9" t="s">
        <v>82</v>
      </c>
      <c r="I40" s="9" t="s">
        <v>44</v>
      </c>
      <c r="J40" s="9" t="s">
        <v>202</v>
      </c>
      <c r="K40" s="9" t="s">
        <v>203</v>
      </c>
      <c r="L40" s="9" t="s">
        <v>204</v>
      </c>
      <c r="M40" s="9"/>
      <c r="N40" s="9" t="s">
        <v>205</v>
      </c>
      <c r="O40" s="9"/>
      <c r="P40" s="9"/>
      <c r="Q40" s="9"/>
      <c r="R40" s="9" t="s">
        <v>50</v>
      </c>
      <c r="S40" s="9" t="s">
        <v>51</v>
      </c>
      <c r="T40" s="9"/>
      <c r="U40" s="9"/>
      <c r="V40" s="9"/>
      <c r="W40" s="9"/>
      <c r="X40" s="9"/>
    </row>
    <row r="41" spans="1:24" ht="124.5" customHeight="1" x14ac:dyDescent="0.25">
      <c r="A41" s="9" t="s">
        <v>206</v>
      </c>
      <c r="B41" s="10">
        <v>46291</v>
      </c>
      <c r="C41" s="11">
        <v>0.39015046296296302</v>
      </c>
      <c r="D41" s="9" t="s">
        <v>40</v>
      </c>
      <c r="E41" s="9" t="s">
        <v>201</v>
      </c>
      <c r="F41" s="9" t="s">
        <v>42</v>
      </c>
      <c r="G41" s="9" t="s">
        <v>43</v>
      </c>
      <c r="H41" s="9" t="s">
        <v>82</v>
      </c>
      <c r="I41" s="9" t="s">
        <v>91</v>
      </c>
      <c r="J41" s="9" t="s">
        <v>202</v>
      </c>
      <c r="K41" s="9"/>
      <c r="L41" s="9"/>
      <c r="M41" s="9"/>
      <c r="N41" s="9" t="s">
        <v>207</v>
      </c>
      <c r="O41" s="9"/>
      <c r="P41" s="9"/>
      <c r="Q41" s="9"/>
      <c r="R41" s="9" t="s">
        <v>50</v>
      </c>
      <c r="S41" s="9" t="s">
        <v>51</v>
      </c>
      <c r="T41" s="9"/>
      <c r="U41" s="9"/>
      <c r="V41" s="9"/>
      <c r="W41" s="9"/>
      <c r="X41" s="9" t="s">
        <v>208</v>
      </c>
    </row>
    <row r="42" spans="1:24" ht="23.25" customHeight="1" x14ac:dyDescent="0.25">
      <c r="A42" s="9" t="s">
        <v>209</v>
      </c>
      <c r="B42" s="10">
        <v>46291</v>
      </c>
      <c r="C42" s="11">
        <v>0.39015046296296302</v>
      </c>
      <c r="D42" s="9" t="s">
        <v>40</v>
      </c>
      <c r="E42" s="9" t="s">
        <v>201</v>
      </c>
      <c r="F42" s="9" t="s">
        <v>42</v>
      </c>
      <c r="G42" s="9" t="s">
        <v>43</v>
      </c>
      <c r="H42" s="9" t="s">
        <v>82</v>
      </c>
      <c r="I42" s="9" t="s">
        <v>146</v>
      </c>
      <c r="J42" s="9" t="s">
        <v>202</v>
      </c>
      <c r="K42" s="9"/>
      <c r="L42" s="9"/>
      <c r="M42" s="9"/>
      <c r="N42" s="9" t="s">
        <v>210</v>
      </c>
      <c r="O42" s="9"/>
      <c r="P42" s="9"/>
      <c r="Q42" s="9"/>
      <c r="R42" s="9" t="s">
        <v>50</v>
      </c>
      <c r="S42" s="9" t="s">
        <v>51</v>
      </c>
      <c r="T42" s="9"/>
      <c r="U42" s="9"/>
      <c r="V42" s="9"/>
      <c r="W42" s="9"/>
      <c r="X42" s="9" t="s">
        <v>211</v>
      </c>
    </row>
    <row r="43" spans="1:24" ht="23.25" customHeight="1" x14ac:dyDescent="0.25">
      <c r="A43" s="9" t="s">
        <v>212</v>
      </c>
      <c r="B43" s="10">
        <v>46291</v>
      </c>
      <c r="C43" s="11">
        <v>0.41471064814814801</v>
      </c>
      <c r="D43" s="9" t="s">
        <v>40</v>
      </c>
      <c r="E43" s="9" t="s">
        <v>201</v>
      </c>
      <c r="F43" s="9" t="s">
        <v>42</v>
      </c>
      <c r="G43" s="9" t="s">
        <v>43</v>
      </c>
      <c r="H43" s="9" t="s">
        <v>82</v>
      </c>
      <c r="I43" s="9" t="s">
        <v>44</v>
      </c>
      <c r="J43" s="9" t="s">
        <v>202</v>
      </c>
      <c r="K43" s="9" t="s">
        <v>213</v>
      </c>
      <c r="L43" s="9" t="s">
        <v>214</v>
      </c>
      <c r="M43" s="9"/>
      <c r="N43" s="9" t="s">
        <v>215</v>
      </c>
      <c r="O43" s="9"/>
      <c r="P43" s="9"/>
      <c r="Q43" s="9"/>
      <c r="R43" s="9" t="s">
        <v>50</v>
      </c>
      <c r="S43" s="9" t="s">
        <v>51</v>
      </c>
      <c r="T43" s="9"/>
      <c r="U43" s="9"/>
      <c r="V43" s="9"/>
      <c r="W43" s="9"/>
      <c r="X43" s="9"/>
    </row>
    <row r="44" spans="1:24" ht="57" customHeight="1" x14ac:dyDescent="0.25">
      <c r="A44" s="9" t="s">
        <v>216</v>
      </c>
      <c r="B44" s="10">
        <v>46291</v>
      </c>
      <c r="C44" s="11">
        <v>0.415752314814815</v>
      </c>
      <c r="D44" s="9" t="s">
        <v>40</v>
      </c>
      <c r="E44" s="9" t="s">
        <v>201</v>
      </c>
      <c r="F44" s="9" t="s">
        <v>42</v>
      </c>
      <c r="G44" s="9" t="s">
        <v>43</v>
      </c>
      <c r="H44" s="9" t="s">
        <v>82</v>
      </c>
      <c r="I44" s="9" t="s">
        <v>44</v>
      </c>
      <c r="J44" s="9" t="s">
        <v>217</v>
      </c>
      <c r="K44" s="9" t="s">
        <v>218</v>
      </c>
      <c r="L44" s="9" t="s">
        <v>219</v>
      </c>
      <c r="M44" s="9"/>
      <c r="N44" s="9" t="s">
        <v>220</v>
      </c>
      <c r="O44" s="9"/>
      <c r="P44" s="9"/>
      <c r="Q44" s="9"/>
      <c r="R44" s="9" t="s">
        <v>50</v>
      </c>
      <c r="S44" s="9" t="s">
        <v>51</v>
      </c>
      <c r="T44" s="9"/>
      <c r="U44" s="9"/>
      <c r="V44" s="9"/>
      <c r="W44" s="9"/>
      <c r="X44" s="9"/>
    </row>
    <row r="45" spans="1:24" ht="23.25" customHeight="1" x14ac:dyDescent="0.25">
      <c r="A45" s="9" t="s">
        <v>221</v>
      </c>
      <c r="B45" s="10">
        <v>46291</v>
      </c>
      <c r="C45" s="11">
        <v>0.41576388888888899</v>
      </c>
      <c r="D45" s="9" t="s">
        <v>40</v>
      </c>
      <c r="E45" s="9" t="s">
        <v>201</v>
      </c>
      <c r="F45" s="9" t="s">
        <v>42</v>
      </c>
      <c r="G45" s="9" t="s">
        <v>43</v>
      </c>
      <c r="H45" s="9" t="s">
        <v>82</v>
      </c>
      <c r="I45" s="9" t="s">
        <v>44</v>
      </c>
      <c r="J45" s="9" t="s">
        <v>217</v>
      </c>
      <c r="K45" s="9" t="s">
        <v>222</v>
      </c>
      <c r="L45" s="9" t="s">
        <v>223</v>
      </c>
      <c r="M45" s="9"/>
      <c r="N45" s="9" t="s">
        <v>224</v>
      </c>
      <c r="O45" s="9"/>
      <c r="P45" s="9"/>
      <c r="Q45" s="9"/>
      <c r="R45" s="9" t="s">
        <v>50</v>
      </c>
      <c r="S45" s="9" t="s">
        <v>51</v>
      </c>
      <c r="T45" s="9"/>
      <c r="U45" s="9"/>
      <c r="V45" s="9"/>
      <c r="W45" s="9"/>
      <c r="X45" s="9"/>
    </row>
    <row r="46" spans="1:24" ht="23.25" customHeight="1" x14ac:dyDescent="0.25">
      <c r="A46" s="9" t="s">
        <v>225</v>
      </c>
      <c r="B46" s="10">
        <v>46291</v>
      </c>
      <c r="C46" s="11">
        <v>0.43548611111111102</v>
      </c>
      <c r="D46" s="9" t="s">
        <v>40</v>
      </c>
      <c r="E46" s="9" t="s">
        <v>201</v>
      </c>
      <c r="F46" s="9" t="s">
        <v>42</v>
      </c>
      <c r="G46" s="9" t="s">
        <v>43</v>
      </c>
      <c r="H46" s="9" t="s">
        <v>82</v>
      </c>
      <c r="I46" s="9" t="s">
        <v>186</v>
      </c>
      <c r="J46" s="9" t="s">
        <v>226</v>
      </c>
      <c r="K46" s="9" t="s">
        <v>222</v>
      </c>
      <c r="L46" s="9"/>
      <c r="M46" s="9"/>
      <c r="N46" s="9" t="s">
        <v>227</v>
      </c>
      <c r="O46" s="9"/>
      <c r="P46" s="9" t="s">
        <v>223</v>
      </c>
      <c r="Q46" s="9" t="s">
        <v>228</v>
      </c>
      <c r="R46" s="9" t="s">
        <v>50</v>
      </c>
      <c r="S46" s="9" t="s">
        <v>51</v>
      </c>
      <c r="T46" s="9"/>
      <c r="U46" s="9"/>
      <c r="V46" s="9"/>
      <c r="W46" s="9"/>
      <c r="X46" s="9"/>
    </row>
    <row r="47" spans="1:24" ht="23.25" customHeight="1" x14ac:dyDescent="0.25">
      <c r="A47" s="9" t="s">
        <v>229</v>
      </c>
      <c r="B47" s="10">
        <v>46291</v>
      </c>
      <c r="C47" s="11">
        <v>0.43548611111111102</v>
      </c>
      <c r="D47" s="9" t="s">
        <v>40</v>
      </c>
      <c r="E47" s="9" t="s">
        <v>201</v>
      </c>
      <c r="F47" s="9" t="s">
        <v>42</v>
      </c>
      <c r="G47" s="9" t="s">
        <v>43</v>
      </c>
      <c r="H47" s="9" t="s">
        <v>82</v>
      </c>
      <c r="I47" s="9" t="s">
        <v>186</v>
      </c>
      <c r="J47" s="9" t="s">
        <v>226</v>
      </c>
      <c r="K47" s="9" t="s">
        <v>218</v>
      </c>
      <c r="L47" s="9"/>
      <c r="M47" s="9"/>
      <c r="N47" s="9" t="s">
        <v>230</v>
      </c>
      <c r="O47" s="9"/>
      <c r="P47" s="9" t="s">
        <v>219</v>
      </c>
      <c r="Q47" s="9" t="s">
        <v>231</v>
      </c>
      <c r="R47" s="9" t="s">
        <v>50</v>
      </c>
      <c r="S47" s="9" t="s">
        <v>51</v>
      </c>
      <c r="T47" s="9"/>
      <c r="U47" s="9"/>
      <c r="V47" s="9"/>
      <c r="W47" s="9"/>
      <c r="X47" s="9"/>
    </row>
    <row r="48" spans="1:24" ht="23.25" customHeight="1" x14ac:dyDescent="0.25">
      <c r="A48" s="9" t="s">
        <v>232</v>
      </c>
      <c r="B48" s="10">
        <v>46291</v>
      </c>
      <c r="C48" s="11">
        <v>0.43548611111111102</v>
      </c>
      <c r="D48" s="9" t="s">
        <v>40</v>
      </c>
      <c r="E48" s="9" t="s">
        <v>201</v>
      </c>
      <c r="F48" s="9" t="s">
        <v>42</v>
      </c>
      <c r="G48" s="9" t="s">
        <v>43</v>
      </c>
      <c r="H48" s="9" t="s">
        <v>82</v>
      </c>
      <c r="I48" s="9" t="s">
        <v>186</v>
      </c>
      <c r="J48" s="9" t="s">
        <v>226</v>
      </c>
      <c r="K48" s="9" t="s">
        <v>96</v>
      </c>
      <c r="L48" s="9"/>
      <c r="M48" s="9"/>
      <c r="N48" s="9" t="s">
        <v>233</v>
      </c>
      <c r="O48" s="9"/>
      <c r="P48" s="9" t="s">
        <v>97</v>
      </c>
      <c r="Q48" s="9" t="s">
        <v>234</v>
      </c>
      <c r="R48" s="9" t="s">
        <v>50</v>
      </c>
      <c r="S48" s="9" t="s">
        <v>51</v>
      </c>
      <c r="T48" s="9"/>
      <c r="U48" s="9"/>
      <c r="V48" s="9"/>
      <c r="W48" s="9"/>
      <c r="X48" s="9"/>
    </row>
    <row r="49" spans="1:24" ht="23.25" customHeight="1" x14ac:dyDescent="0.25">
      <c r="A49" s="9" t="s">
        <v>235</v>
      </c>
      <c r="B49" s="10">
        <v>46291</v>
      </c>
      <c r="C49" s="11">
        <v>0.43548611111111102</v>
      </c>
      <c r="D49" s="9" t="s">
        <v>40</v>
      </c>
      <c r="E49" s="9" t="s">
        <v>201</v>
      </c>
      <c r="F49" s="9" t="s">
        <v>42</v>
      </c>
      <c r="G49" s="9" t="s">
        <v>43</v>
      </c>
      <c r="H49" s="9" t="s">
        <v>82</v>
      </c>
      <c r="I49" s="9" t="s">
        <v>186</v>
      </c>
      <c r="J49" s="9" t="s">
        <v>226</v>
      </c>
      <c r="K49" s="9" t="s">
        <v>117</v>
      </c>
      <c r="L49" s="9"/>
      <c r="M49" s="9"/>
      <c r="N49" s="9" t="s">
        <v>236</v>
      </c>
      <c r="O49" s="9"/>
      <c r="P49" s="9" t="s">
        <v>118</v>
      </c>
      <c r="Q49" s="9" t="s">
        <v>237</v>
      </c>
      <c r="R49" s="9" t="s">
        <v>50</v>
      </c>
      <c r="S49" s="9" t="s">
        <v>51</v>
      </c>
      <c r="T49" s="9"/>
      <c r="U49" s="9"/>
      <c r="V49" s="9"/>
      <c r="W49" s="9"/>
      <c r="X49" s="9"/>
    </row>
    <row r="50" spans="1:24" ht="23.25" customHeight="1" x14ac:dyDescent="0.25">
      <c r="A50" s="9" t="s">
        <v>238</v>
      </c>
      <c r="B50" s="10">
        <v>46291</v>
      </c>
      <c r="C50" s="11">
        <v>0.43548611111111102</v>
      </c>
      <c r="D50" s="9" t="s">
        <v>40</v>
      </c>
      <c r="E50" s="9" t="s">
        <v>201</v>
      </c>
      <c r="F50" s="9" t="s">
        <v>42</v>
      </c>
      <c r="G50" s="9" t="s">
        <v>43</v>
      </c>
      <c r="H50" s="9" t="s">
        <v>82</v>
      </c>
      <c r="I50" s="9" t="s">
        <v>186</v>
      </c>
      <c r="J50" s="9" t="s">
        <v>226</v>
      </c>
      <c r="K50" s="9" t="s">
        <v>142</v>
      </c>
      <c r="L50" s="9"/>
      <c r="M50" s="9"/>
      <c r="N50" s="9" t="s">
        <v>239</v>
      </c>
      <c r="O50" s="9"/>
      <c r="P50" s="9" t="s">
        <v>143</v>
      </c>
      <c r="Q50" s="9" t="s">
        <v>240</v>
      </c>
      <c r="R50" s="9" t="s">
        <v>50</v>
      </c>
      <c r="S50" s="9" t="s">
        <v>51</v>
      </c>
      <c r="T50" s="9"/>
      <c r="U50" s="9"/>
      <c r="V50" s="9"/>
      <c r="W50" s="9"/>
      <c r="X50" s="9"/>
    </row>
    <row r="51" spans="1:24" ht="23.25" customHeight="1" x14ac:dyDescent="0.25">
      <c r="A51" s="9" t="s">
        <v>241</v>
      </c>
      <c r="B51" s="10">
        <v>46291</v>
      </c>
      <c r="C51" s="11">
        <v>0.43548611111111102</v>
      </c>
      <c r="D51" s="9" t="s">
        <v>40</v>
      </c>
      <c r="E51" s="9" t="s">
        <v>201</v>
      </c>
      <c r="F51" s="9" t="s">
        <v>42</v>
      </c>
      <c r="G51" s="9" t="s">
        <v>43</v>
      </c>
      <c r="H51" s="9" t="s">
        <v>82</v>
      </c>
      <c r="I51" s="9" t="s">
        <v>186</v>
      </c>
      <c r="J51" s="9" t="s">
        <v>226</v>
      </c>
      <c r="K51" s="9" t="s">
        <v>196</v>
      </c>
      <c r="L51" s="9"/>
      <c r="M51" s="9"/>
      <c r="N51" s="9" t="s">
        <v>239</v>
      </c>
      <c r="O51" s="9"/>
      <c r="P51" s="9" t="s">
        <v>197</v>
      </c>
      <c r="Q51" s="9" t="s">
        <v>242</v>
      </c>
      <c r="R51" s="9" t="s">
        <v>50</v>
      </c>
      <c r="S51" s="9" t="s">
        <v>51</v>
      </c>
      <c r="T51" s="9"/>
      <c r="U51" s="9"/>
      <c r="V51" s="9"/>
      <c r="W51" s="9"/>
      <c r="X51" s="9"/>
    </row>
    <row r="52" spans="1:24" ht="23.25" customHeight="1" x14ac:dyDescent="0.25">
      <c r="A52" s="9" t="s">
        <v>243</v>
      </c>
      <c r="B52" s="10">
        <v>46291</v>
      </c>
      <c r="C52" s="11">
        <v>0.43548611111111102</v>
      </c>
      <c r="D52" s="9" t="s">
        <v>40</v>
      </c>
      <c r="E52" s="9" t="s">
        <v>201</v>
      </c>
      <c r="F52" s="9" t="s">
        <v>42</v>
      </c>
      <c r="G52" s="9" t="s">
        <v>43</v>
      </c>
      <c r="H52" s="9" t="s">
        <v>82</v>
      </c>
      <c r="I52" s="9" t="s">
        <v>186</v>
      </c>
      <c r="J52" s="9" t="s">
        <v>226</v>
      </c>
      <c r="K52" s="9" t="s">
        <v>192</v>
      </c>
      <c r="L52" s="9"/>
      <c r="M52" s="9"/>
      <c r="N52" s="9" t="s">
        <v>239</v>
      </c>
      <c r="O52" s="9"/>
      <c r="P52" s="9" t="s">
        <v>193</v>
      </c>
      <c r="Q52" s="9" t="s">
        <v>244</v>
      </c>
      <c r="R52" s="9" t="s">
        <v>50</v>
      </c>
      <c r="S52" s="9" t="s">
        <v>51</v>
      </c>
      <c r="T52" s="9"/>
      <c r="U52" s="9"/>
      <c r="V52" s="9"/>
      <c r="W52" s="9"/>
      <c r="X52" s="9"/>
    </row>
    <row r="53" spans="1:24" ht="23.25" customHeight="1" x14ac:dyDescent="0.25">
      <c r="A53" s="9" t="s">
        <v>245</v>
      </c>
      <c r="B53" s="10">
        <v>46291</v>
      </c>
      <c r="C53" s="11">
        <v>0.43548611111111102</v>
      </c>
      <c r="D53" s="9" t="s">
        <v>40</v>
      </c>
      <c r="E53" s="9" t="s">
        <v>201</v>
      </c>
      <c r="F53" s="9" t="s">
        <v>42</v>
      </c>
      <c r="G53" s="9" t="s">
        <v>43</v>
      </c>
      <c r="H53" s="9" t="s">
        <v>82</v>
      </c>
      <c r="I53" s="9" t="s">
        <v>186</v>
      </c>
      <c r="J53" s="9" t="s">
        <v>226</v>
      </c>
      <c r="K53" s="9" t="s">
        <v>175</v>
      </c>
      <c r="L53" s="9"/>
      <c r="M53" s="9"/>
      <c r="N53" s="9" t="s">
        <v>239</v>
      </c>
      <c r="O53" s="9"/>
      <c r="P53" s="9" t="s">
        <v>176</v>
      </c>
      <c r="Q53" s="9" t="s">
        <v>246</v>
      </c>
      <c r="R53" s="9" t="s">
        <v>50</v>
      </c>
      <c r="S53" s="9" t="s">
        <v>51</v>
      </c>
      <c r="T53" s="9"/>
      <c r="U53" s="9"/>
      <c r="V53" s="9"/>
      <c r="W53" s="9"/>
      <c r="X53" s="9"/>
    </row>
    <row r="54" spans="1:24" ht="23.25" customHeight="1" x14ac:dyDescent="0.25">
      <c r="A54" s="9" t="s">
        <v>247</v>
      </c>
      <c r="B54" s="10">
        <v>46291</v>
      </c>
      <c r="C54" s="11">
        <v>0.43548611111111102</v>
      </c>
      <c r="D54" s="9" t="s">
        <v>40</v>
      </c>
      <c r="E54" s="9" t="s">
        <v>201</v>
      </c>
      <c r="F54" s="9" t="s">
        <v>42</v>
      </c>
      <c r="G54" s="9" t="s">
        <v>43</v>
      </c>
      <c r="H54" s="9" t="s">
        <v>82</v>
      </c>
      <c r="I54" s="9" t="s">
        <v>186</v>
      </c>
      <c r="J54" s="9" t="s">
        <v>226</v>
      </c>
      <c r="K54" s="9" t="s">
        <v>203</v>
      </c>
      <c r="L54" s="9"/>
      <c r="M54" s="9"/>
      <c r="N54" s="9" t="s">
        <v>248</v>
      </c>
      <c r="O54" s="9"/>
      <c r="P54" s="9" t="s">
        <v>204</v>
      </c>
      <c r="Q54" s="9" t="s">
        <v>249</v>
      </c>
      <c r="R54" s="9" t="s">
        <v>50</v>
      </c>
      <c r="S54" s="9" t="s">
        <v>51</v>
      </c>
      <c r="T54" s="9"/>
      <c r="U54" s="9"/>
      <c r="V54" s="9"/>
      <c r="W54" s="9"/>
      <c r="X54" s="9"/>
    </row>
    <row r="55" spans="1:24" ht="23.25" customHeight="1" x14ac:dyDescent="0.25">
      <c r="A55" s="9" t="s">
        <v>250</v>
      </c>
      <c r="B55" s="10">
        <v>46291</v>
      </c>
      <c r="C55" s="11">
        <v>0.43548611111111102</v>
      </c>
      <c r="D55" s="9" t="s">
        <v>40</v>
      </c>
      <c r="E55" s="9" t="s">
        <v>201</v>
      </c>
      <c r="F55" s="9" t="s">
        <v>42</v>
      </c>
      <c r="G55" s="9" t="s">
        <v>43</v>
      </c>
      <c r="H55" s="9" t="s">
        <v>82</v>
      </c>
      <c r="I55" s="9" t="s">
        <v>186</v>
      </c>
      <c r="J55" s="9" t="s">
        <v>226</v>
      </c>
      <c r="K55" s="9" t="s">
        <v>213</v>
      </c>
      <c r="L55" s="9"/>
      <c r="M55" s="9"/>
      <c r="N55" s="9" t="s">
        <v>248</v>
      </c>
      <c r="O55" s="9"/>
      <c r="P55" s="9" t="s">
        <v>214</v>
      </c>
      <c r="Q55" s="9" t="s">
        <v>251</v>
      </c>
      <c r="R55" s="9" t="s">
        <v>50</v>
      </c>
      <c r="S55" s="9" t="s">
        <v>51</v>
      </c>
      <c r="T55" s="9"/>
      <c r="U55" s="9"/>
      <c r="V55" s="9"/>
      <c r="W55" s="9"/>
      <c r="X55" s="9"/>
    </row>
    <row r="56" spans="1:24" ht="23.25" customHeight="1" x14ac:dyDescent="0.25">
      <c r="A56" s="9" t="s">
        <v>252</v>
      </c>
      <c r="B56" s="10">
        <v>46291</v>
      </c>
      <c r="C56" s="11">
        <v>0.43576388888888901</v>
      </c>
      <c r="D56" s="9" t="s">
        <v>40</v>
      </c>
      <c r="E56" s="9" t="s">
        <v>201</v>
      </c>
      <c r="F56" s="9" t="s">
        <v>42</v>
      </c>
      <c r="G56" s="9" t="s">
        <v>43</v>
      </c>
      <c r="H56" s="9" t="s">
        <v>82</v>
      </c>
      <c r="I56" s="9" t="s">
        <v>186</v>
      </c>
      <c r="J56" s="9" t="s">
        <v>226</v>
      </c>
      <c r="K56" s="9" t="s">
        <v>253</v>
      </c>
      <c r="L56" s="9" t="s">
        <v>253</v>
      </c>
      <c r="M56" s="9"/>
      <c r="N56" s="9" t="s">
        <v>254</v>
      </c>
      <c r="O56" s="9"/>
      <c r="P56" s="9"/>
      <c r="Q56" s="9"/>
      <c r="R56" s="9" t="s">
        <v>50</v>
      </c>
      <c r="S56" s="9" t="s">
        <v>51</v>
      </c>
      <c r="T56" s="9"/>
      <c r="U56" s="9"/>
      <c r="V56" s="9"/>
      <c r="W56" s="9"/>
      <c r="X56" s="9"/>
    </row>
    <row r="57" spans="1:24" ht="23.25" customHeight="1" x14ac:dyDescent="0.25">
      <c r="A57" s="9" t="s">
        <v>255</v>
      </c>
      <c r="B57" s="10">
        <v>46291</v>
      </c>
      <c r="C57" s="11">
        <v>0.437268518518519</v>
      </c>
      <c r="D57" s="9" t="s">
        <v>40</v>
      </c>
      <c r="E57" s="9" t="s">
        <v>201</v>
      </c>
      <c r="F57" s="9" t="s">
        <v>42</v>
      </c>
      <c r="G57" s="9" t="s">
        <v>43</v>
      </c>
      <c r="H57" s="9" t="s">
        <v>82</v>
      </c>
      <c r="I57" s="9" t="s">
        <v>87</v>
      </c>
      <c r="J57" s="9" t="s">
        <v>226</v>
      </c>
      <c r="K57" s="9" t="s">
        <v>175</v>
      </c>
      <c r="L57" s="9" t="s">
        <v>246</v>
      </c>
      <c r="M57" s="9"/>
      <c r="N57" s="9" t="s">
        <v>256</v>
      </c>
      <c r="O57" s="9"/>
      <c r="P57" s="9"/>
      <c r="Q57" s="9"/>
      <c r="R57" s="9" t="s">
        <v>50</v>
      </c>
      <c r="S57" s="9" t="s">
        <v>51</v>
      </c>
      <c r="T57" s="9"/>
      <c r="U57" s="9"/>
      <c r="V57" s="9"/>
      <c r="W57" s="9"/>
      <c r="X57" s="9"/>
    </row>
    <row r="58" spans="1:24" ht="45.75" customHeight="1" x14ac:dyDescent="0.25">
      <c r="A58" s="9" t="s">
        <v>257</v>
      </c>
      <c r="B58" s="10">
        <v>46291</v>
      </c>
      <c r="C58" s="11">
        <v>0.437268518518519</v>
      </c>
      <c r="D58" s="9" t="s">
        <v>40</v>
      </c>
      <c r="E58" s="9" t="s">
        <v>201</v>
      </c>
      <c r="F58" s="9" t="s">
        <v>42</v>
      </c>
      <c r="G58" s="9" t="s">
        <v>43</v>
      </c>
      <c r="H58" s="9" t="s">
        <v>82</v>
      </c>
      <c r="I58" s="9" t="s">
        <v>44</v>
      </c>
      <c r="J58" s="9" t="s">
        <v>226</v>
      </c>
      <c r="K58" s="9" t="s">
        <v>258</v>
      </c>
      <c r="L58" s="9" t="s">
        <v>259</v>
      </c>
      <c r="M58" s="9"/>
      <c r="N58" s="9" t="s">
        <v>260</v>
      </c>
      <c r="O58" s="9"/>
      <c r="P58" s="9"/>
      <c r="Q58" s="9"/>
      <c r="R58" s="9" t="s">
        <v>50</v>
      </c>
      <c r="S58" s="9" t="s">
        <v>51</v>
      </c>
      <c r="T58" s="9"/>
      <c r="U58" s="9"/>
      <c r="V58" s="9"/>
      <c r="W58" s="9"/>
      <c r="X58" s="9"/>
    </row>
    <row r="59" spans="1:24" ht="34.5" customHeight="1" x14ac:dyDescent="0.25">
      <c r="A59" s="9" t="s">
        <v>261</v>
      </c>
      <c r="B59" s="10">
        <v>46291</v>
      </c>
      <c r="C59" s="11">
        <v>0.445081018518519</v>
      </c>
      <c r="D59" s="9" t="s">
        <v>40</v>
      </c>
      <c r="E59" s="9" t="s">
        <v>201</v>
      </c>
      <c r="F59" s="9" t="s">
        <v>42</v>
      </c>
      <c r="G59" s="9" t="s">
        <v>43</v>
      </c>
      <c r="H59" s="9" t="s">
        <v>82</v>
      </c>
      <c r="I59" s="9" t="s">
        <v>44</v>
      </c>
      <c r="J59" s="9" t="s">
        <v>262</v>
      </c>
      <c r="K59" s="9" t="s">
        <v>263</v>
      </c>
      <c r="L59" s="9" t="s">
        <v>264</v>
      </c>
      <c r="M59" s="9"/>
      <c r="N59" s="9" t="s">
        <v>265</v>
      </c>
      <c r="O59" s="9"/>
      <c r="P59" s="9"/>
      <c r="Q59" s="9"/>
      <c r="R59" s="9" t="s">
        <v>50</v>
      </c>
      <c r="S59" s="9" t="s">
        <v>51</v>
      </c>
      <c r="T59" s="9"/>
      <c r="U59" s="9"/>
      <c r="V59" s="9"/>
      <c r="W59" s="9"/>
      <c r="X59" s="9"/>
    </row>
    <row r="60" spans="1:24" ht="23.25" customHeight="1" x14ac:dyDescent="0.25">
      <c r="A60" s="9" t="s">
        <v>266</v>
      </c>
      <c r="B60" s="10">
        <v>46291</v>
      </c>
      <c r="C60" s="11">
        <v>0.449895833333333</v>
      </c>
      <c r="D60" s="9" t="s">
        <v>40</v>
      </c>
      <c r="E60" s="9" t="s">
        <v>201</v>
      </c>
      <c r="F60" s="9" t="s">
        <v>42</v>
      </c>
      <c r="G60" s="9" t="s">
        <v>43</v>
      </c>
      <c r="H60" s="9" t="s">
        <v>82</v>
      </c>
      <c r="I60" s="9" t="s">
        <v>44</v>
      </c>
      <c r="J60" s="9" t="s">
        <v>262</v>
      </c>
      <c r="K60" s="9" t="s">
        <v>267</v>
      </c>
      <c r="L60" s="9" t="s">
        <v>268</v>
      </c>
      <c r="M60" s="9"/>
      <c r="N60" s="9" t="s">
        <v>269</v>
      </c>
      <c r="O60" s="9"/>
      <c r="P60" s="9"/>
      <c r="Q60" s="9"/>
      <c r="R60" s="9" t="s">
        <v>50</v>
      </c>
      <c r="S60" s="9" t="s">
        <v>51</v>
      </c>
      <c r="T60" s="9"/>
      <c r="U60" s="9"/>
      <c r="V60" s="9"/>
      <c r="W60" s="9"/>
      <c r="X60" s="9"/>
    </row>
    <row r="61" spans="1:24" ht="23.25" customHeight="1" x14ac:dyDescent="0.25">
      <c r="A61" s="9" t="s">
        <v>270</v>
      </c>
      <c r="B61" s="10">
        <v>46291</v>
      </c>
      <c r="C61" s="11">
        <v>0.62028935185185197</v>
      </c>
      <c r="D61" s="9" t="s">
        <v>40</v>
      </c>
      <c r="E61" s="9" t="s">
        <v>201</v>
      </c>
      <c r="F61" s="9" t="s">
        <v>42</v>
      </c>
      <c r="G61" s="9" t="s">
        <v>43</v>
      </c>
      <c r="H61" s="9" t="s">
        <v>82</v>
      </c>
      <c r="I61" s="9" t="s">
        <v>44</v>
      </c>
      <c r="J61" s="9" t="s">
        <v>262</v>
      </c>
      <c r="K61" s="9" t="s">
        <v>271</v>
      </c>
      <c r="L61" s="9" t="s">
        <v>272</v>
      </c>
      <c r="M61" s="9"/>
      <c r="N61" s="9" t="s">
        <v>273</v>
      </c>
      <c r="O61" s="9"/>
      <c r="P61" s="9"/>
      <c r="Q61" s="9"/>
      <c r="R61" s="9" t="s">
        <v>50</v>
      </c>
      <c r="S61" s="9" t="s">
        <v>51</v>
      </c>
      <c r="T61" s="9"/>
      <c r="U61" s="9"/>
      <c r="V61" s="9"/>
      <c r="W61" s="9"/>
      <c r="X61" s="9"/>
    </row>
    <row r="62" spans="1:24" ht="68.25" customHeight="1" x14ac:dyDescent="0.25">
      <c r="A62" s="9" t="s">
        <v>274</v>
      </c>
      <c r="B62" s="10">
        <v>46291</v>
      </c>
      <c r="C62" s="11">
        <v>0.62827546296296299</v>
      </c>
      <c r="D62" s="9" t="s">
        <v>40</v>
      </c>
      <c r="E62" s="9" t="s">
        <v>201</v>
      </c>
      <c r="F62" s="9" t="s">
        <v>42</v>
      </c>
      <c r="G62" s="9" t="s">
        <v>43</v>
      </c>
      <c r="H62" s="9" t="s">
        <v>82</v>
      </c>
      <c r="I62" s="9" t="s">
        <v>127</v>
      </c>
      <c r="J62" s="9" t="s">
        <v>275</v>
      </c>
      <c r="K62" s="9"/>
      <c r="L62" s="9"/>
      <c r="M62" s="9"/>
      <c r="N62" s="9" t="s">
        <v>276</v>
      </c>
      <c r="O62" s="9" t="s">
        <v>277</v>
      </c>
      <c r="P62" s="9"/>
      <c r="Q62" s="9"/>
      <c r="R62" s="9" t="s">
        <v>50</v>
      </c>
      <c r="S62" s="9" t="s">
        <v>51</v>
      </c>
      <c r="T62" s="9"/>
      <c r="U62" s="9"/>
      <c r="V62" s="9"/>
      <c r="W62" s="9"/>
      <c r="X62" s="9"/>
    </row>
    <row r="63" spans="1:24" ht="23.25" customHeight="1" x14ac:dyDescent="0.25">
      <c r="A63" s="9" t="s">
        <v>278</v>
      </c>
      <c r="B63" s="10">
        <v>46291</v>
      </c>
      <c r="C63" s="11">
        <v>0.63140046296296304</v>
      </c>
      <c r="D63" s="9" t="s">
        <v>40</v>
      </c>
      <c r="E63" s="9" t="s">
        <v>201</v>
      </c>
      <c r="F63" s="9" t="s">
        <v>42</v>
      </c>
      <c r="G63" s="9" t="s">
        <v>43</v>
      </c>
      <c r="H63" s="9" t="s">
        <v>82</v>
      </c>
      <c r="I63" s="9" t="s">
        <v>44</v>
      </c>
      <c r="J63" s="9" t="s">
        <v>279</v>
      </c>
      <c r="K63" s="9" t="s">
        <v>280</v>
      </c>
      <c r="L63" s="9" t="s">
        <v>281</v>
      </c>
      <c r="M63" s="9"/>
      <c r="N63" s="9" t="s">
        <v>282</v>
      </c>
      <c r="O63" s="9"/>
      <c r="P63" s="9"/>
      <c r="Q63" s="9"/>
      <c r="R63" s="9" t="s">
        <v>50</v>
      </c>
      <c r="S63" s="9" t="s">
        <v>51</v>
      </c>
      <c r="T63" s="9"/>
      <c r="U63" s="9"/>
      <c r="V63" s="9"/>
      <c r="W63" s="9"/>
      <c r="X63" s="9"/>
    </row>
    <row r="64" spans="1:24" ht="113.25" customHeight="1" x14ac:dyDescent="0.25">
      <c r="A64" s="9" t="s">
        <v>283</v>
      </c>
      <c r="B64" s="10">
        <v>46291</v>
      </c>
      <c r="C64" s="11">
        <v>0.63837962962963002</v>
      </c>
      <c r="D64" s="9" t="s">
        <v>40</v>
      </c>
      <c r="E64" s="9" t="s">
        <v>201</v>
      </c>
      <c r="F64" s="9" t="s">
        <v>42</v>
      </c>
      <c r="G64" s="9" t="s">
        <v>43</v>
      </c>
      <c r="H64" s="9" t="s">
        <v>82</v>
      </c>
      <c r="I64" s="9" t="s">
        <v>60</v>
      </c>
      <c r="J64" s="9" t="s">
        <v>284</v>
      </c>
      <c r="K64" s="9"/>
      <c r="L64" s="9"/>
      <c r="M64" s="9"/>
      <c r="N64" s="9" t="s">
        <v>285</v>
      </c>
      <c r="O64" s="9" t="s">
        <v>286</v>
      </c>
      <c r="P64" s="9"/>
      <c r="Q64" s="9"/>
      <c r="R64" s="9" t="s">
        <v>50</v>
      </c>
      <c r="S64" s="9" t="s">
        <v>51</v>
      </c>
      <c r="T64" s="9"/>
      <c r="U64" s="9"/>
      <c r="V64" s="9"/>
      <c r="W64" s="9"/>
      <c r="X64" s="9"/>
    </row>
    <row r="65" spans="1:24" ht="34.5" customHeight="1" x14ac:dyDescent="0.25">
      <c r="A65" s="9" t="s">
        <v>287</v>
      </c>
      <c r="B65" s="10">
        <v>46291</v>
      </c>
      <c r="C65" s="11">
        <v>0.63837962962963002</v>
      </c>
      <c r="D65" s="9" t="s">
        <v>40</v>
      </c>
      <c r="E65" s="9" t="s">
        <v>201</v>
      </c>
      <c r="F65" s="9" t="s">
        <v>42</v>
      </c>
      <c r="G65" s="9" t="s">
        <v>43</v>
      </c>
      <c r="H65" s="9" t="s">
        <v>82</v>
      </c>
      <c r="I65" s="9" t="s">
        <v>60</v>
      </c>
      <c r="J65" s="9" t="s">
        <v>284</v>
      </c>
      <c r="K65" s="9"/>
      <c r="L65" s="9"/>
      <c r="M65" s="9"/>
      <c r="N65" s="9" t="s">
        <v>288</v>
      </c>
      <c r="O65" s="9" t="s">
        <v>289</v>
      </c>
      <c r="P65" s="9"/>
      <c r="Q65" s="9"/>
      <c r="R65" s="9" t="s">
        <v>50</v>
      </c>
      <c r="S65" s="9" t="s">
        <v>51</v>
      </c>
      <c r="T65" s="9"/>
      <c r="U65" s="9"/>
      <c r="V65" s="9"/>
      <c r="W65" s="9"/>
      <c r="X65" s="9"/>
    </row>
    <row r="66" spans="1:24" ht="113.25" customHeight="1" x14ac:dyDescent="0.25">
      <c r="A66" s="9" t="s">
        <v>290</v>
      </c>
      <c r="B66" s="10">
        <v>46291</v>
      </c>
      <c r="C66" s="11">
        <v>0.63915509259259295</v>
      </c>
      <c r="D66" s="9" t="s">
        <v>40</v>
      </c>
      <c r="E66" s="9" t="s">
        <v>201</v>
      </c>
      <c r="F66" s="9" t="s">
        <v>42</v>
      </c>
      <c r="G66" s="9" t="s">
        <v>43</v>
      </c>
      <c r="H66" s="9" t="s">
        <v>82</v>
      </c>
      <c r="I66" s="9" t="s">
        <v>91</v>
      </c>
      <c r="J66" s="9" t="s">
        <v>284</v>
      </c>
      <c r="K66" s="9" t="s">
        <v>291</v>
      </c>
      <c r="L66" s="9"/>
      <c r="M66" s="9"/>
      <c r="N66" s="9" t="s">
        <v>292</v>
      </c>
      <c r="O66" s="9"/>
      <c r="P66" s="9"/>
      <c r="Q66" s="9"/>
      <c r="R66" s="9" t="s">
        <v>50</v>
      </c>
      <c r="S66" s="9" t="s">
        <v>51</v>
      </c>
      <c r="T66" s="9"/>
      <c r="U66" s="9"/>
      <c r="V66" s="9"/>
      <c r="W66" s="9"/>
      <c r="X66" s="9" t="s">
        <v>293</v>
      </c>
    </row>
    <row r="67" spans="1:24" ht="23.25" customHeight="1" x14ac:dyDescent="0.25">
      <c r="A67" s="9" t="s">
        <v>294</v>
      </c>
      <c r="B67" s="10">
        <v>46291</v>
      </c>
      <c r="C67" s="11">
        <v>0.63916666666666699</v>
      </c>
      <c r="D67" s="9" t="s">
        <v>40</v>
      </c>
      <c r="E67" s="9" t="s">
        <v>201</v>
      </c>
      <c r="F67" s="9" t="s">
        <v>42</v>
      </c>
      <c r="G67" s="9" t="s">
        <v>43</v>
      </c>
      <c r="H67" s="9" t="s">
        <v>82</v>
      </c>
      <c r="I67" s="9" t="s">
        <v>44</v>
      </c>
      <c r="J67" s="9" t="s">
        <v>284</v>
      </c>
      <c r="K67" s="9" t="s">
        <v>291</v>
      </c>
      <c r="L67" s="9" t="s">
        <v>295</v>
      </c>
      <c r="M67" s="9"/>
      <c r="N67" s="9" t="s">
        <v>296</v>
      </c>
      <c r="O67" s="9"/>
      <c r="P67" s="9"/>
      <c r="Q67" s="9"/>
      <c r="R67" s="9" t="s">
        <v>50</v>
      </c>
      <c r="S67" s="9" t="s">
        <v>51</v>
      </c>
      <c r="T67" s="9"/>
      <c r="U67" s="9"/>
      <c r="V67" s="9"/>
      <c r="W67" s="9"/>
      <c r="X67" s="9"/>
    </row>
    <row r="68" spans="1:24" ht="45.75" customHeight="1" x14ac:dyDescent="0.25">
      <c r="A68" s="9" t="s">
        <v>297</v>
      </c>
      <c r="B68" s="10">
        <v>46291</v>
      </c>
      <c r="C68" s="11">
        <v>0.64021990740740697</v>
      </c>
      <c r="D68" s="9" t="s">
        <v>40</v>
      </c>
      <c r="E68" s="9" t="s">
        <v>201</v>
      </c>
      <c r="F68" s="9" t="s">
        <v>42</v>
      </c>
      <c r="G68" s="9" t="s">
        <v>43</v>
      </c>
      <c r="H68" s="9" t="s">
        <v>82</v>
      </c>
      <c r="I68" s="9" t="s">
        <v>44</v>
      </c>
      <c r="J68" s="9" t="s">
        <v>284</v>
      </c>
      <c r="K68" s="9" t="s">
        <v>298</v>
      </c>
      <c r="L68" s="9" t="s">
        <v>299</v>
      </c>
      <c r="M68" s="9"/>
      <c r="N68" s="9" t="s">
        <v>300</v>
      </c>
      <c r="O68" s="9"/>
      <c r="P68" s="9"/>
      <c r="Q68" s="9"/>
      <c r="R68" s="9" t="s">
        <v>50</v>
      </c>
      <c r="S68" s="9" t="s">
        <v>51</v>
      </c>
      <c r="T68" s="9"/>
      <c r="U68" s="9"/>
      <c r="V68" s="9"/>
      <c r="W68" s="9"/>
      <c r="X68" s="9"/>
    </row>
    <row r="69" spans="1:24" ht="34.5" customHeight="1" x14ac:dyDescent="0.25">
      <c r="A69" s="9" t="s">
        <v>301</v>
      </c>
      <c r="B69" s="10">
        <v>46291</v>
      </c>
      <c r="C69" s="11">
        <v>0.64557870370370396</v>
      </c>
      <c r="D69" s="9" t="s">
        <v>40</v>
      </c>
      <c r="E69" s="9" t="s">
        <v>201</v>
      </c>
      <c r="F69" s="9" t="s">
        <v>42</v>
      </c>
      <c r="G69" s="9" t="s">
        <v>43</v>
      </c>
      <c r="H69" s="9" t="s">
        <v>82</v>
      </c>
      <c r="I69" s="9" t="s">
        <v>44</v>
      </c>
      <c r="J69" s="9" t="s">
        <v>302</v>
      </c>
      <c r="K69" s="9" t="s">
        <v>303</v>
      </c>
      <c r="L69" s="9" t="s">
        <v>304</v>
      </c>
      <c r="M69" s="9"/>
      <c r="N69" s="9" t="s">
        <v>305</v>
      </c>
      <c r="O69" s="9"/>
      <c r="P69" s="9"/>
      <c r="Q69" s="9"/>
      <c r="R69" s="9" t="s">
        <v>50</v>
      </c>
      <c r="S69" s="9" t="s">
        <v>51</v>
      </c>
      <c r="T69" s="9"/>
      <c r="U69" s="9"/>
      <c r="V69" s="9"/>
      <c r="W69" s="9"/>
      <c r="X69" s="9"/>
    </row>
    <row r="70" spans="1:24" ht="34.5" customHeight="1" x14ac:dyDescent="0.25">
      <c r="A70" s="9" t="s">
        <v>306</v>
      </c>
      <c r="B70" s="10">
        <v>46291</v>
      </c>
      <c r="C70" s="11">
        <v>0.64557870370370396</v>
      </c>
      <c r="D70" s="9" t="s">
        <v>40</v>
      </c>
      <c r="E70" s="9" t="s">
        <v>201</v>
      </c>
      <c r="F70" s="9" t="s">
        <v>42</v>
      </c>
      <c r="G70" s="9" t="s">
        <v>43</v>
      </c>
      <c r="H70" s="9" t="s">
        <v>82</v>
      </c>
      <c r="I70" s="9" t="s">
        <v>44</v>
      </c>
      <c r="J70" s="9" t="s">
        <v>302</v>
      </c>
      <c r="K70" s="9" t="s">
        <v>307</v>
      </c>
      <c r="L70" s="9" t="s">
        <v>308</v>
      </c>
      <c r="M70" s="9"/>
      <c r="N70" s="9" t="s">
        <v>309</v>
      </c>
      <c r="O70" s="9"/>
      <c r="P70" s="9"/>
      <c r="Q70" s="9"/>
      <c r="R70" s="9" t="s">
        <v>50</v>
      </c>
      <c r="S70" s="9" t="s">
        <v>51</v>
      </c>
      <c r="T70" s="9"/>
      <c r="U70" s="9"/>
      <c r="V70" s="9"/>
      <c r="W70" s="9"/>
      <c r="X70" s="9"/>
    </row>
    <row r="71" spans="1:24" ht="68.25" customHeight="1" x14ac:dyDescent="0.25">
      <c r="A71" s="9" t="s">
        <v>310</v>
      </c>
      <c r="B71" s="10">
        <v>46291</v>
      </c>
      <c r="C71" s="11">
        <v>0.64557870370370396</v>
      </c>
      <c r="D71" s="9" t="s">
        <v>40</v>
      </c>
      <c r="E71" s="9" t="s">
        <v>201</v>
      </c>
      <c r="F71" s="9" t="s">
        <v>42</v>
      </c>
      <c r="G71" s="9" t="s">
        <v>43</v>
      </c>
      <c r="H71" s="9" t="s">
        <v>82</v>
      </c>
      <c r="I71" s="9" t="s">
        <v>146</v>
      </c>
      <c r="J71" s="9" t="s">
        <v>302</v>
      </c>
      <c r="K71" s="9"/>
      <c r="L71" s="9"/>
      <c r="M71" s="9"/>
      <c r="N71" s="9" t="s">
        <v>311</v>
      </c>
      <c r="O71" s="9"/>
      <c r="P71" s="9"/>
      <c r="Q71" s="9"/>
      <c r="R71" s="9" t="s">
        <v>50</v>
      </c>
      <c r="S71" s="9" t="s">
        <v>51</v>
      </c>
      <c r="T71" s="9"/>
      <c r="U71" s="9"/>
      <c r="V71" s="9"/>
      <c r="W71" s="9"/>
      <c r="X71" s="9"/>
    </row>
    <row r="72" spans="1:24" ht="34.5" customHeight="1" x14ac:dyDescent="0.25">
      <c r="A72" s="9" t="s">
        <v>312</v>
      </c>
      <c r="B72" s="10">
        <v>46291</v>
      </c>
      <c r="C72" s="11">
        <v>0.645590277777778</v>
      </c>
      <c r="D72" s="9" t="s">
        <v>40</v>
      </c>
      <c r="E72" s="9" t="s">
        <v>201</v>
      </c>
      <c r="F72" s="9" t="s">
        <v>42</v>
      </c>
      <c r="G72" s="9" t="s">
        <v>43</v>
      </c>
      <c r="H72" s="9" t="s">
        <v>82</v>
      </c>
      <c r="I72" s="9" t="s">
        <v>44</v>
      </c>
      <c r="J72" s="9" t="s">
        <v>302</v>
      </c>
      <c r="K72" s="9" t="s">
        <v>313</v>
      </c>
      <c r="L72" s="9" t="s">
        <v>314</v>
      </c>
      <c r="M72" s="9"/>
      <c r="N72" s="9" t="s">
        <v>315</v>
      </c>
      <c r="O72" s="9"/>
      <c r="P72" s="9"/>
      <c r="Q72" s="9"/>
      <c r="R72" s="9" t="s">
        <v>50</v>
      </c>
      <c r="S72" s="9" t="s">
        <v>51</v>
      </c>
      <c r="T72" s="9"/>
      <c r="U72" s="9"/>
      <c r="V72" s="9"/>
      <c r="W72" s="9"/>
      <c r="X72" s="9"/>
    </row>
    <row r="73" spans="1:24" ht="45.75" customHeight="1" x14ac:dyDescent="0.25">
      <c r="A73" s="9" t="s">
        <v>316</v>
      </c>
      <c r="B73" s="10">
        <v>46291</v>
      </c>
      <c r="C73" s="11">
        <v>0.83834490740740697</v>
      </c>
      <c r="D73" s="9" t="s">
        <v>40</v>
      </c>
      <c r="E73" s="9" t="s">
        <v>201</v>
      </c>
      <c r="F73" s="9" t="s">
        <v>42</v>
      </c>
      <c r="G73" s="9" t="s">
        <v>43</v>
      </c>
      <c r="H73" s="9" t="s">
        <v>82</v>
      </c>
      <c r="I73" s="9" t="s">
        <v>91</v>
      </c>
      <c r="J73" s="9" t="s">
        <v>317</v>
      </c>
      <c r="K73" s="9"/>
      <c r="L73" s="9"/>
      <c r="M73" s="9"/>
      <c r="N73" s="9" t="s">
        <v>318</v>
      </c>
      <c r="O73" s="9"/>
      <c r="P73" s="9"/>
      <c r="Q73" s="9"/>
      <c r="R73" s="9" t="s">
        <v>50</v>
      </c>
      <c r="S73" s="9" t="s">
        <v>51</v>
      </c>
      <c r="T73" s="9"/>
      <c r="U73" s="9"/>
      <c r="V73" s="9"/>
      <c r="W73" s="9"/>
      <c r="X73" s="9"/>
    </row>
    <row r="74" spans="1:24" ht="57" customHeight="1" x14ac:dyDescent="0.25">
      <c r="A74" s="9" t="s">
        <v>319</v>
      </c>
      <c r="B74" s="10">
        <v>46291</v>
      </c>
      <c r="C74" s="11">
        <v>0.84137731481481504</v>
      </c>
      <c r="D74" s="9" t="s">
        <v>40</v>
      </c>
      <c r="E74" s="9" t="s">
        <v>201</v>
      </c>
      <c r="F74" s="9" t="s">
        <v>42</v>
      </c>
      <c r="G74" s="9" t="s">
        <v>43</v>
      </c>
      <c r="H74" s="9" t="s">
        <v>82</v>
      </c>
      <c r="I74" s="9" t="s">
        <v>186</v>
      </c>
      <c r="J74" s="9" t="s">
        <v>317</v>
      </c>
      <c r="K74" s="9" t="s">
        <v>258</v>
      </c>
      <c r="L74" s="9" t="s">
        <v>259</v>
      </c>
      <c r="M74" s="9"/>
      <c r="N74" s="9" t="s">
        <v>320</v>
      </c>
      <c r="O74" s="9"/>
      <c r="P74" s="9"/>
      <c r="Q74" s="9"/>
      <c r="R74" s="9" t="s">
        <v>50</v>
      </c>
      <c r="S74" s="9" t="s">
        <v>51</v>
      </c>
      <c r="T74" s="9"/>
      <c r="U74" s="9"/>
      <c r="V74" s="9"/>
      <c r="W74" s="9"/>
      <c r="X74" s="9"/>
    </row>
    <row r="75" spans="1:24" ht="51" x14ac:dyDescent="0.25">
      <c r="A75" s="9" t="s">
        <v>321</v>
      </c>
      <c r="B75" s="10">
        <v>46292</v>
      </c>
      <c r="C75" s="11">
        <v>0.54418981481481499</v>
      </c>
      <c r="D75" s="9" t="s">
        <v>40</v>
      </c>
      <c r="E75" s="9" t="s">
        <v>322</v>
      </c>
      <c r="F75" s="9" t="s">
        <v>42</v>
      </c>
      <c r="G75" s="9" t="s">
        <v>43</v>
      </c>
      <c r="H75" s="9" t="s">
        <v>82</v>
      </c>
      <c r="I75" s="9" t="s">
        <v>44</v>
      </c>
      <c r="J75" s="9" t="s">
        <v>317</v>
      </c>
      <c r="K75" s="9" t="s">
        <v>323</v>
      </c>
      <c r="L75" s="9" t="s">
        <v>324</v>
      </c>
      <c r="M75" s="9"/>
      <c r="N75" s="9" t="s">
        <v>325</v>
      </c>
      <c r="O75" s="9"/>
      <c r="P75" s="9"/>
      <c r="Q75" s="9"/>
      <c r="R75" s="9" t="s">
        <v>50</v>
      </c>
      <c r="S75" s="9" t="s">
        <v>51</v>
      </c>
      <c r="T75" s="9"/>
      <c r="U75" s="9"/>
      <c r="V75" s="9"/>
      <c r="W75" s="9"/>
      <c r="X75" s="9"/>
    </row>
    <row r="76" spans="1:24" ht="25.5" x14ac:dyDescent="0.25">
      <c r="A76" s="9" t="s">
        <v>326</v>
      </c>
      <c r="B76" s="10">
        <v>46292</v>
      </c>
      <c r="C76" s="11">
        <v>0.54418981481481499</v>
      </c>
      <c r="D76" s="9" t="s">
        <v>40</v>
      </c>
      <c r="E76" s="9" t="s">
        <v>322</v>
      </c>
      <c r="F76" s="9" t="s">
        <v>42</v>
      </c>
      <c r="G76" s="9" t="s">
        <v>43</v>
      </c>
      <c r="H76" s="9" t="s">
        <v>82</v>
      </c>
      <c r="I76" s="9" t="s">
        <v>44</v>
      </c>
      <c r="J76" s="9" t="s">
        <v>317</v>
      </c>
      <c r="K76" s="9" t="s">
        <v>327</v>
      </c>
      <c r="L76" s="9" t="s">
        <v>328</v>
      </c>
      <c r="M76" s="9"/>
      <c r="N76" s="9" t="s">
        <v>329</v>
      </c>
      <c r="O76" s="9"/>
      <c r="P76" s="9"/>
      <c r="Q76" s="9"/>
      <c r="R76" s="9" t="s">
        <v>50</v>
      </c>
      <c r="S76" s="9" t="s">
        <v>51</v>
      </c>
      <c r="T76" s="9"/>
      <c r="U76" s="9"/>
      <c r="V76" s="9"/>
      <c r="W76" s="9"/>
      <c r="X76" s="9"/>
    </row>
    <row r="77" spans="1:24" ht="38.25" x14ac:dyDescent="0.25">
      <c r="A77" s="9" t="s">
        <v>330</v>
      </c>
      <c r="B77" s="10">
        <v>46292</v>
      </c>
      <c r="C77" s="11">
        <v>0.54418981481481499</v>
      </c>
      <c r="D77" s="9" t="s">
        <v>40</v>
      </c>
      <c r="E77" s="9" t="s">
        <v>322</v>
      </c>
      <c r="F77" s="9" t="s">
        <v>42</v>
      </c>
      <c r="G77" s="9" t="s">
        <v>43</v>
      </c>
      <c r="H77" s="9" t="s">
        <v>82</v>
      </c>
      <c r="I77" s="9" t="s">
        <v>44</v>
      </c>
      <c r="J77" s="9" t="s">
        <v>317</v>
      </c>
      <c r="K77" s="9" t="s">
        <v>331</v>
      </c>
      <c r="L77" s="9" t="s">
        <v>332</v>
      </c>
      <c r="M77" s="9"/>
      <c r="N77" s="9" t="s">
        <v>333</v>
      </c>
      <c r="O77" s="9"/>
      <c r="P77" s="9"/>
      <c r="Q77" s="9"/>
      <c r="R77" s="9" t="s">
        <v>50</v>
      </c>
      <c r="S77" s="9" t="s">
        <v>51</v>
      </c>
      <c r="T77" s="9"/>
      <c r="U77" s="9"/>
      <c r="V77" s="9"/>
      <c r="W77" s="9"/>
      <c r="X77" s="9"/>
    </row>
  </sheetData>
  <autoFilter ref="A1:X1" xr:uid="{00000000-0009-0000-0000-000001000000}"/>
  <dataValidations count="4">
    <dataValidation type="list" allowBlank="1" sqref="I2:I1009" xr:uid="{00000000-0002-0000-0100-000000000000}">
      <formula1>"EXPLORE,DISCOVER,CREATE,MODIFY,FIX,DELETE,RUN,VERIFY,DECISION,NOTE"</formula1>
      <formula2>0</formula2>
    </dataValidation>
    <dataValidation type="list" allowBlank="1" sqref="R2:R1009" xr:uid="{00000000-0002-0000-0100-000001000000}">
      <formula1>"Info,Low,Medium,High,Critical"</formula1>
      <formula2>0</formula2>
    </dataValidation>
    <dataValidation type="list" allowBlank="1" sqref="S2:S1009" xr:uid="{00000000-0002-0000-0100-000002000000}">
      <formula1>"Done,Open,Needs-confirmation,Reverted,Wontfix"</formula1>
      <formula2>0</formula2>
    </dataValidation>
    <dataValidation type="list" allowBlank="1" sqref="G2:G1009" xr:uid="{00000000-0002-0000-0100-000003000000}">
      <formula1>"AI,Human,Tool"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zoomScaleNormal="100" workbookViewId="0">
      <pane ySplit="1" topLeftCell="A2" activePane="bottomLeft" state="frozen"/>
      <selection pane="bottomLeft"/>
    </sheetView>
  </sheetViews>
  <sheetFormatPr defaultColWidth="8.7109375" defaultRowHeight="15" x14ac:dyDescent="0.25"/>
  <cols>
    <col min="1" max="1" width="11" style="1" customWidth="1"/>
    <col min="2" max="2" width="12" style="1" customWidth="1"/>
    <col min="3" max="3" width="11" style="1" customWidth="1"/>
    <col min="4" max="4" width="22" style="1" customWidth="1"/>
    <col min="5" max="5" width="20" style="1" customWidth="1"/>
    <col min="6" max="6" width="26" style="1" customWidth="1"/>
    <col min="7" max="7" width="22" style="1" customWidth="1"/>
    <col min="8" max="8" width="60" style="1" customWidth="1"/>
    <col min="9" max="9" width="50" style="1" customWidth="1"/>
    <col min="10" max="10" width="44" style="1" customWidth="1"/>
    <col min="11" max="11" width="18" style="1" customWidth="1"/>
    <col min="12" max="12" width="16" style="1" customWidth="1"/>
  </cols>
  <sheetData>
    <row r="1" spans="1:12" ht="31.5" customHeight="1" x14ac:dyDescent="0.25">
      <c r="A1" s="5" t="s">
        <v>334</v>
      </c>
      <c r="B1" s="5" t="s">
        <v>335</v>
      </c>
      <c r="C1" s="5" t="s">
        <v>9</v>
      </c>
      <c r="D1" s="5" t="s">
        <v>336</v>
      </c>
      <c r="E1" s="5" t="s">
        <v>26</v>
      </c>
      <c r="F1" s="5" t="s">
        <v>27</v>
      </c>
      <c r="G1" s="5" t="s">
        <v>337</v>
      </c>
      <c r="H1" s="5" t="s">
        <v>338</v>
      </c>
      <c r="I1" s="5" t="s">
        <v>339</v>
      </c>
      <c r="J1" s="5" t="s">
        <v>340</v>
      </c>
      <c r="K1" s="5" t="s">
        <v>11</v>
      </c>
      <c r="L1" s="5" t="s">
        <v>341</v>
      </c>
    </row>
    <row r="2" spans="1:12" ht="45.75" customHeight="1" x14ac:dyDescent="0.25">
      <c r="A2" s="6" t="s">
        <v>342</v>
      </c>
      <c r="B2" s="7">
        <v>46288</v>
      </c>
      <c r="C2" s="6" t="s">
        <v>343</v>
      </c>
      <c r="D2" s="6" t="s">
        <v>344</v>
      </c>
      <c r="E2" s="6" t="s">
        <v>92</v>
      </c>
      <c r="F2" s="6" t="s">
        <v>345</v>
      </c>
      <c r="G2" s="6"/>
      <c r="H2" s="6" t="s">
        <v>346</v>
      </c>
      <c r="I2" s="6" t="s">
        <v>347</v>
      </c>
      <c r="J2" s="6" t="s">
        <v>348</v>
      </c>
      <c r="K2" s="6" t="s">
        <v>51</v>
      </c>
      <c r="L2" s="6"/>
    </row>
    <row r="3" spans="1:12" ht="57" customHeight="1" x14ac:dyDescent="0.25">
      <c r="A3" s="9" t="s">
        <v>349</v>
      </c>
      <c r="B3" s="10">
        <v>46289</v>
      </c>
      <c r="C3" s="9" t="s">
        <v>350</v>
      </c>
      <c r="D3" s="9" t="s">
        <v>351</v>
      </c>
      <c r="E3" s="9" t="s">
        <v>113</v>
      </c>
      <c r="F3" s="9" t="s">
        <v>352</v>
      </c>
      <c r="G3" s="9"/>
      <c r="H3" s="9" t="s">
        <v>353</v>
      </c>
      <c r="I3" s="9" t="s">
        <v>354</v>
      </c>
      <c r="J3" s="9" t="s">
        <v>355</v>
      </c>
      <c r="K3" s="9" t="s">
        <v>356</v>
      </c>
      <c r="L3" s="9"/>
    </row>
    <row r="4" spans="1:12" ht="90.75" customHeight="1" x14ac:dyDescent="0.25">
      <c r="A4" s="9" t="s">
        <v>357</v>
      </c>
      <c r="B4" s="10">
        <v>46289</v>
      </c>
      <c r="C4" s="12" t="s">
        <v>358</v>
      </c>
      <c r="D4" s="9" t="s">
        <v>359</v>
      </c>
      <c r="E4" s="9" t="s">
        <v>130</v>
      </c>
      <c r="F4" s="9" t="s">
        <v>360</v>
      </c>
      <c r="G4" s="9" t="s">
        <v>361</v>
      </c>
      <c r="H4" s="9" t="s">
        <v>362</v>
      </c>
      <c r="I4" s="9" t="s">
        <v>363</v>
      </c>
      <c r="J4" s="9" t="s">
        <v>364</v>
      </c>
      <c r="K4" s="9" t="s">
        <v>51</v>
      </c>
      <c r="L4" s="9"/>
    </row>
    <row r="5" spans="1:12" ht="57" customHeight="1" x14ac:dyDescent="0.25">
      <c r="A5" s="9" t="s">
        <v>184</v>
      </c>
      <c r="B5" s="10">
        <v>46290</v>
      </c>
      <c r="C5" s="9" t="s">
        <v>343</v>
      </c>
      <c r="D5" s="9" t="s">
        <v>365</v>
      </c>
      <c r="E5" s="9" t="s">
        <v>165</v>
      </c>
      <c r="F5" s="9" t="s">
        <v>366</v>
      </c>
      <c r="G5" s="9"/>
      <c r="H5" s="9" t="s">
        <v>367</v>
      </c>
      <c r="I5" s="9" t="s">
        <v>368</v>
      </c>
      <c r="J5" s="9" t="s">
        <v>369</v>
      </c>
      <c r="K5" s="9" t="s">
        <v>51</v>
      </c>
      <c r="L5" s="9"/>
    </row>
    <row r="6" spans="1:12" ht="57" customHeight="1" x14ac:dyDescent="0.25">
      <c r="A6" s="9" t="s">
        <v>370</v>
      </c>
      <c r="B6" s="10">
        <v>46290</v>
      </c>
      <c r="C6" s="9" t="s">
        <v>343</v>
      </c>
      <c r="D6" s="9" t="s">
        <v>365</v>
      </c>
      <c r="E6" s="9" t="s">
        <v>165</v>
      </c>
      <c r="F6" s="9" t="s">
        <v>366</v>
      </c>
      <c r="G6" s="9"/>
      <c r="H6" s="9" t="s">
        <v>367</v>
      </c>
      <c r="I6" s="9" t="s">
        <v>368</v>
      </c>
      <c r="J6" s="9" t="s">
        <v>371</v>
      </c>
      <c r="K6" s="9" t="s">
        <v>51</v>
      </c>
      <c r="L6" s="9"/>
    </row>
    <row r="7" spans="1:12" ht="68.25" customHeight="1" x14ac:dyDescent="0.25">
      <c r="A7" s="9" t="s">
        <v>372</v>
      </c>
      <c r="B7" s="10">
        <v>46291</v>
      </c>
      <c r="C7" s="9" t="s">
        <v>343</v>
      </c>
      <c r="D7" s="9" t="s">
        <v>373</v>
      </c>
      <c r="E7" s="9" t="s">
        <v>284</v>
      </c>
      <c r="F7" s="9" t="s">
        <v>374</v>
      </c>
      <c r="G7" s="9"/>
      <c r="H7" s="9" t="s">
        <v>375</v>
      </c>
      <c r="I7" s="9" t="s">
        <v>376</v>
      </c>
      <c r="J7" s="9" t="s">
        <v>377</v>
      </c>
      <c r="K7" s="9" t="s">
        <v>378</v>
      </c>
      <c r="L7" s="9"/>
    </row>
  </sheetData>
  <autoFilter ref="A1:L1" xr:uid="{00000000-0009-0000-0000-000002000000}"/>
  <dataValidations count="2">
    <dataValidation type="list" allowBlank="1" sqref="C2:C1001" xr:uid="{00000000-0002-0000-0200-000000000000}">
      <formula1>"Info,Low,Medium,High,Critical"</formula1>
      <formula2>0</formula2>
    </dataValidation>
    <dataValidation type="list" allowBlank="1" sqref="K2:K1001" xr:uid="{00000000-0002-0000-0200-000001000000}">
      <formula1>"Done,Open,Needs-confirmation,Reverted,Wontfix"</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0"/>
  <sheetViews>
    <sheetView zoomScaleNormal="100" workbookViewId="0">
      <pane ySplit="1" topLeftCell="A2" activePane="bottomLeft" state="frozen"/>
      <selection pane="bottomLeft"/>
    </sheetView>
  </sheetViews>
  <sheetFormatPr defaultColWidth="8.7109375" defaultRowHeight="15" x14ac:dyDescent="0.25"/>
  <cols>
    <col min="1" max="1" width="56" style="1" customWidth="1"/>
    <col min="2" max="2" width="10" style="1" customWidth="1"/>
    <col min="3" max="3" width="16" style="1" customWidth="1"/>
    <col min="4" max="4" width="66" style="1" customWidth="1"/>
    <col min="5" max="5" width="40" style="1" customWidth="1"/>
    <col min="6" max="7" width="14" style="1" customWidth="1"/>
  </cols>
  <sheetData>
    <row r="1" spans="1:7" ht="31.5" customHeight="1" x14ac:dyDescent="0.25">
      <c r="A1" s="5" t="s">
        <v>28</v>
      </c>
      <c r="B1" s="5" t="s">
        <v>379</v>
      </c>
      <c r="C1" s="5" t="s">
        <v>380</v>
      </c>
      <c r="D1" s="5" t="s">
        <v>381</v>
      </c>
      <c r="E1" s="5" t="s">
        <v>382</v>
      </c>
      <c r="F1" s="5" t="s">
        <v>383</v>
      </c>
      <c r="G1" s="5" t="s">
        <v>384</v>
      </c>
    </row>
    <row r="2" spans="1:7" ht="23.25" customHeight="1" x14ac:dyDescent="0.25">
      <c r="A2" s="6" t="s">
        <v>345</v>
      </c>
      <c r="B2" s="6" t="s">
        <v>385</v>
      </c>
      <c r="C2" s="6">
        <v>460676</v>
      </c>
      <c r="D2" s="6" t="s">
        <v>386</v>
      </c>
      <c r="E2" s="6" t="s">
        <v>387</v>
      </c>
      <c r="F2" s="7">
        <v>46287</v>
      </c>
      <c r="G2" s="6"/>
    </row>
    <row r="3" spans="1:7" ht="15" customHeight="1" x14ac:dyDescent="0.25">
      <c r="A3" s="6" t="s">
        <v>71</v>
      </c>
      <c r="B3" s="6" t="s">
        <v>388</v>
      </c>
      <c r="C3" s="6">
        <v>365</v>
      </c>
      <c r="D3" s="6" t="s">
        <v>389</v>
      </c>
      <c r="E3" s="6" t="s">
        <v>390</v>
      </c>
      <c r="F3" s="7">
        <v>46287</v>
      </c>
      <c r="G3" s="6"/>
    </row>
    <row r="4" spans="1:7" ht="15" customHeight="1" x14ac:dyDescent="0.25">
      <c r="A4" s="6" t="s">
        <v>75</v>
      </c>
      <c r="B4" s="6" t="s">
        <v>391</v>
      </c>
      <c r="C4" s="6">
        <v>415</v>
      </c>
      <c r="D4" s="6" t="s">
        <v>392</v>
      </c>
      <c r="E4" s="6" t="s">
        <v>393</v>
      </c>
      <c r="F4" s="7">
        <v>46287</v>
      </c>
      <c r="G4" s="6"/>
    </row>
    <row r="5" spans="1:7" ht="15" customHeight="1" x14ac:dyDescent="0.25">
      <c r="A5" s="6" t="s">
        <v>79</v>
      </c>
      <c r="B5" s="6" t="s">
        <v>394</v>
      </c>
      <c r="C5" s="6">
        <v>420</v>
      </c>
      <c r="D5" s="6" t="s">
        <v>395</v>
      </c>
      <c r="E5" s="6" t="s">
        <v>396</v>
      </c>
      <c r="F5" s="7">
        <v>46287</v>
      </c>
      <c r="G5" s="6"/>
    </row>
    <row r="6" spans="1:7" ht="15" customHeight="1" x14ac:dyDescent="0.25">
      <c r="A6" s="6" t="s">
        <v>397</v>
      </c>
      <c r="B6" s="6" t="s">
        <v>385</v>
      </c>
      <c r="C6" s="6">
        <v>192</v>
      </c>
      <c r="D6" s="6" t="s">
        <v>398</v>
      </c>
      <c r="E6" s="6" t="s">
        <v>399</v>
      </c>
      <c r="F6" s="7">
        <v>46288</v>
      </c>
      <c r="G6" s="6"/>
    </row>
    <row r="7" spans="1:7" ht="23.25" customHeight="1" x14ac:dyDescent="0.25">
      <c r="A7" s="6" t="s">
        <v>400</v>
      </c>
      <c r="B7" s="6" t="s">
        <v>401</v>
      </c>
      <c r="C7" s="6">
        <v>22802</v>
      </c>
      <c r="D7" s="6" t="s">
        <v>402</v>
      </c>
      <c r="E7" s="6" t="s">
        <v>403</v>
      </c>
      <c r="F7" s="7">
        <v>46288</v>
      </c>
      <c r="G7" s="6"/>
    </row>
    <row r="8" spans="1:7" ht="15" customHeight="1" x14ac:dyDescent="0.25">
      <c r="A8" s="6" t="s">
        <v>404</v>
      </c>
      <c r="B8" s="6" t="s">
        <v>405</v>
      </c>
      <c r="C8" s="6">
        <v>9524</v>
      </c>
      <c r="D8" s="6" t="s">
        <v>406</v>
      </c>
      <c r="E8" s="6" t="s">
        <v>407</v>
      </c>
      <c r="F8" s="7">
        <v>46288</v>
      </c>
      <c r="G8" s="6"/>
    </row>
    <row r="9" spans="1:7" ht="15" customHeight="1" x14ac:dyDescent="0.25">
      <c r="A9" s="6" t="s">
        <v>97</v>
      </c>
      <c r="B9" s="6" t="s">
        <v>408</v>
      </c>
      <c r="C9" s="6">
        <v>13590</v>
      </c>
      <c r="D9" s="6" t="s">
        <v>409</v>
      </c>
      <c r="E9" s="6" t="s">
        <v>410</v>
      </c>
      <c r="F9" s="7">
        <v>46288</v>
      </c>
      <c r="G9" s="6"/>
    </row>
    <row r="10" spans="1:7" ht="15" customHeight="1" x14ac:dyDescent="0.25">
      <c r="A10" s="9" t="s">
        <v>360</v>
      </c>
      <c r="B10" s="9" t="s">
        <v>385</v>
      </c>
      <c r="C10" s="9">
        <v>468785</v>
      </c>
      <c r="D10" s="9" t="s">
        <v>411</v>
      </c>
      <c r="E10" s="9" t="s">
        <v>412</v>
      </c>
      <c r="F10" s="10">
        <v>46289</v>
      </c>
      <c r="G10" s="9"/>
    </row>
    <row r="11" spans="1:7" ht="15" customHeight="1" x14ac:dyDescent="0.25">
      <c r="A11" s="9" t="s">
        <v>352</v>
      </c>
      <c r="B11" s="9" t="s">
        <v>401</v>
      </c>
      <c r="C11" s="9">
        <v>48765</v>
      </c>
      <c r="D11" s="9" t="s">
        <v>413</v>
      </c>
      <c r="E11" s="9" t="s">
        <v>414</v>
      </c>
      <c r="F11" s="10">
        <v>46289</v>
      </c>
      <c r="G11" s="9"/>
    </row>
    <row r="12" spans="1:7" ht="15" customHeight="1" x14ac:dyDescent="0.25">
      <c r="A12" s="9" t="s">
        <v>118</v>
      </c>
      <c r="B12" s="9" t="s">
        <v>408</v>
      </c>
      <c r="C12" s="9">
        <v>9337</v>
      </c>
      <c r="D12" s="9" t="s">
        <v>415</v>
      </c>
      <c r="E12" s="9" t="s">
        <v>416</v>
      </c>
      <c r="F12" s="10">
        <v>46289</v>
      </c>
      <c r="G12" s="9"/>
    </row>
    <row r="13" spans="1:7" ht="15" customHeight="1" x14ac:dyDescent="0.25">
      <c r="A13" s="9" t="s">
        <v>123</v>
      </c>
      <c r="B13" s="9" t="s">
        <v>405</v>
      </c>
      <c r="C13" s="9">
        <v>2868</v>
      </c>
      <c r="D13" s="9" t="s">
        <v>417</v>
      </c>
      <c r="E13" s="9" t="s">
        <v>418</v>
      </c>
      <c r="F13" s="10">
        <v>46289</v>
      </c>
      <c r="G13" s="9"/>
    </row>
    <row r="14" spans="1:7" ht="23.25" customHeight="1" x14ac:dyDescent="0.25">
      <c r="A14" s="9" t="s">
        <v>419</v>
      </c>
      <c r="B14" s="9" t="s">
        <v>420</v>
      </c>
      <c r="C14" s="9">
        <v>141791</v>
      </c>
      <c r="D14" s="9" t="s">
        <v>421</v>
      </c>
      <c r="E14" s="9" t="s">
        <v>422</v>
      </c>
      <c r="F14" s="10">
        <v>46289</v>
      </c>
      <c r="G14" s="9"/>
    </row>
    <row r="15" spans="1:7" ht="15" customHeight="1" x14ac:dyDescent="0.25">
      <c r="A15" s="9" t="s">
        <v>139</v>
      </c>
      <c r="B15" s="9" t="s">
        <v>405</v>
      </c>
      <c r="C15" s="9">
        <v>1416</v>
      </c>
      <c r="D15" s="9" t="s">
        <v>423</v>
      </c>
      <c r="E15" s="9" t="s">
        <v>424</v>
      </c>
      <c r="F15" s="10">
        <v>46289</v>
      </c>
      <c r="G15" s="9"/>
    </row>
    <row r="16" spans="1:7" ht="15" customHeight="1" x14ac:dyDescent="0.25">
      <c r="A16" s="9" t="s">
        <v>143</v>
      </c>
      <c r="B16" s="9" t="s">
        <v>408</v>
      </c>
      <c r="C16" s="9">
        <v>2595</v>
      </c>
      <c r="D16" s="9" t="s">
        <v>425</v>
      </c>
      <c r="E16" s="9" t="s">
        <v>426</v>
      </c>
      <c r="F16" s="10">
        <v>46289</v>
      </c>
      <c r="G16" s="9"/>
    </row>
    <row r="17" spans="1:7" ht="23.25" customHeight="1" x14ac:dyDescent="0.25">
      <c r="A17" s="9" t="s">
        <v>427</v>
      </c>
      <c r="B17" s="9" t="s">
        <v>405</v>
      </c>
      <c r="C17" s="9">
        <v>18407</v>
      </c>
      <c r="D17" s="9" t="s">
        <v>428</v>
      </c>
      <c r="E17" s="9" t="s">
        <v>429</v>
      </c>
      <c r="F17" s="10">
        <v>46290</v>
      </c>
      <c r="G17" s="9"/>
    </row>
    <row r="18" spans="1:7" ht="15" customHeight="1" x14ac:dyDescent="0.25">
      <c r="A18" s="9" t="s">
        <v>430</v>
      </c>
      <c r="B18" s="9" t="s">
        <v>401</v>
      </c>
      <c r="C18" s="9">
        <v>51730</v>
      </c>
      <c r="D18" s="9" t="s">
        <v>431</v>
      </c>
      <c r="E18" s="9" t="s">
        <v>432</v>
      </c>
      <c r="F18" s="10">
        <v>46290</v>
      </c>
      <c r="G18" s="9"/>
    </row>
    <row r="19" spans="1:7" ht="23.25" customHeight="1" x14ac:dyDescent="0.25">
      <c r="A19" s="9" t="s">
        <v>433</v>
      </c>
      <c r="B19" s="9" t="s">
        <v>420</v>
      </c>
      <c r="C19" s="9">
        <v>150866</v>
      </c>
      <c r="D19" s="9" t="s">
        <v>434</v>
      </c>
      <c r="E19" s="9" t="s">
        <v>435</v>
      </c>
      <c r="F19" s="10">
        <v>46290</v>
      </c>
      <c r="G19" s="9"/>
    </row>
    <row r="20" spans="1:7" ht="23.25" customHeight="1" x14ac:dyDescent="0.25">
      <c r="A20" s="9" t="s">
        <v>436</v>
      </c>
      <c r="B20" s="9" t="s">
        <v>420</v>
      </c>
      <c r="C20" s="9">
        <v>227085</v>
      </c>
      <c r="D20" s="9" t="s">
        <v>437</v>
      </c>
      <c r="E20" s="9" t="s">
        <v>438</v>
      </c>
      <c r="F20" s="10">
        <v>46290</v>
      </c>
      <c r="G20" s="9"/>
    </row>
    <row r="21" spans="1:7" ht="15" customHeight="1" x14ac:dyDescent="0.25">
      <c r="A21" s="9" t="s">
        <v>439</v>
      </c>
      <c r="B21" s="9" t="s">
        <v>420</v>
      </c>
      <c r="C21" s="9">
        <v>70321</v>
      </c>
      <c r="D21" s="9" t="s">
        <v>440</v>
      </c>
      <c r="E21" s="9" t="s">
        <v>441</v>
      </c>
      <c r="F21" s="10">
        <v>46290</v>
      </c>
      <c r="G21" s="9"/>
    </row>
    <row r="22" spans="1:7" ht="23.25" customHeight="1" x14ac:dyDescent="0.25">
      <c r="A22" s="9" t="s">
        <v>442</v>
      </c>
      <c r="B22" s="9" t="s">
        <v>420</v>
      </c>
      <c r="C22" s="9">
        <v>440073</v>
      </c>
      <c r="D22" s="9" t="s">
        <v>443</v>
      </c>
      <c r="E22" s="9" t="s">
        <v>444</v>
      </c>
      <c r="F22" s="10">
        <v>46290</v>
      </c>
      <c r="G22" s="9"/>
    </row>
    <row r="23" spans="1:7" ht="23.25" customHeight="1" x14ac:dyDescent="0.25">
      <c r="A23" s="9" t="s">
        <v>445</v>
      </c>
      <c r="B23" s="9" t="s">
        <v>420</v>
      </c>
      <c r="C23" s="9">
        <v>263530</v>
      </c>
      <c r="D23" s="9" t="s">
        <v>446</v>
      </c>
      <c r="E23" s="9" t="s">
        <v>447</v>
      </c>
      <c r="F23" s="10">
        <v>46290</v>
      </c>
      <c r="G23" s="9"/>
    </row>
    <row r="24" spans="1:7" ht="23.25" customHeight="1" x14ac:dyDescent="0.25">
      <c r="A24" s="9" t="s">
        <v>448</v>
      </c>
      <c r="B24" s="9" t="s">
        <v>420</v>
      </c>
      <c r="C24" s="9">
        <v>63054</v>
      </c>
      <c r="D24" s="9" t="s">
        <v>449</v>
      </c>
      <c r="E24" s="9" t="s">
        <v>450</v>
      </c>
      <c r="F24" s="10">
        <v>46290</v>
      </c>
      <c r="G24" s="9"/>
    </row>
    <row r="25" spans="1:7" ht="23.25" customHeight="1" x14ac:dyDescent="0.25">
      <c r="A25" s="9" t="s">
        <v>451</v>
      </c>
      <c r="B25" s="9" t="s">
        <v>420</v>
      </c>
      <c r="C25" s="9">
        <v>373125</v>
      </c>
      <c r="D25" s="9" t="s">
        <v>452</v>
      </c>
      <c r="E25" s="9" t="s">
        <v>453</v>
      </c>
      <c r="F25" s="10">
        <v>46290</v>
      </c>
      <c r="G25" s="9"/>
    </row>
    <row r="26" spans="1:7" ht="23.25" customHeight="1" x14ac:dyDescent="0.25">
      <c r="A26" s="9" t="s">
        <v>454</v>
      </c>
      <c r="B26" s="9" t="s">
        <v>420</v>
      </c>
      <c r="C26" s="9">
        <v>202395</v>
      </c>
      <c r="D26" s="9" t="s">
        <v>455</v>
      </c>
      <c r="E26" s="9" t="s">
        <v>456</v>
      </c>
      <c r="F26" s="10">
        <v>46290</v>
      </c>
      <c r="G26" s="9"/>
    </row>
    <row r="27" spans="1:7" ht="23.25" customHeight="1" x14ac:dyDescent="0.25">
      <c r="A27" s="9" t="s">
        <v>457</v>
      </c>
      <c r="B27" s="9" t="s">
        <v>420</v>
      </c>
      <c r="C27" s="9">
        <v>17992</v>
      </c>
      <c r="D27" s="9" t="s">
        <v>458</v>
      </c>
      <c r="E27" s="9" t="s">
        <v>459</v>
      </c>
      <c r="F27" s="10">
        <v>46290</v>
      </c>
      <c r="G27" s="9"/>
    </row>
    <row r="28" spans="1:7" ht="23.25" customHeight="1" x14ac:dyDescent="0.25">
      <c r="A28" s="9" t="s">
        <v>460</v>
      </c>
      <c r="B28" s="9" t="s">
        <v>420</v>
      </c>
      <c r="C28" s="9">
        <v>108430</v>
      </c>
      <c r="D28" s="9" t="s">
        <v>461</v>
      </c>
      <c r="E28" s="9" t="s">
        <v>462</v>
      </c>
      <c r="F28" s="10">
        <v>46290</v>
      </c>
      <c r="G28" s="9"/>
    </row>
    <row r="29" spans="1:7" ht="15" customHeight="1" x14ac:dyDescent="0.25">
      <c r="A29" s="9" t="s">
        <v>176</v>
      </c>
      <c r="B29" s="9" t="s">
        <v>408</v>
      </c>
      <c r="C29" s="9">
        <v>2667</v>
      </c>
      <c r="D29" s="9" t="s">
        <v>463</v>
      </c>
      <c r="E29" s="9" t="s">
        <v>464</v>
      </c>
      <c r="F29" s="10">
        <v>46290</v>
      </c>
      <c r="G29" s="9"/>
    </row>
    <row r="30" spans="1:7" ht="23.25" customHeight="1" x14ac:dyDescent="0.25">
      <c r="A30" s="9" t="s">
        <v>366</v>
      </c>
      <c r="B30" s="9" t="s">
        <v>405</v>
      </c>
      <c r="C30" s="9">
        <v>19801</v>
      </c>
      <c r="D30" s="9" t="s">
        <v>465</v>
      </c>
      <c r="E30" s="9" t="s">
        <v>466</v>
      </c>
      <c r="F30" s="10">
        <v>46290</v>
      </c>
      <c r="G30" s="9"/>
    </row>
    <row r="31" spans="1:7" ht="15" customHeight="1" x14ac:dyDescent="0.25">
      <c r="A31" s="9" t="s">
        <v>467</v>
      </c>
      <c r="B31" s="9" t="s">
        <v>401</v>
      </c>
      <c r="C31" s="9">
        <v>70580</v>
      </c>
      <c r="D31" s="9" t="s">
        <v>468</v>
      </c>
      <c r="E31" s="9" t="s">
        <v>469</v>
      </c>
      <c r="F31" s="10">
        <v>46290</v>
      </c>
      <c r="G31" s="9"/>
    </row>
    <row r="32" spans="1:7" ht="15" customHeight="1" x14ac:dyDescent="0.25">
      <c r="A32" s="9" t="s">
        <v>193</v>
      </c>
      <c r="B32" s="9" t="s">
        <v>408</v>
      </c>
      <c r="C32" s="9">
        <v>13093</v>
      </c>
      <c r="D32" s="9" t="s">
        <v>470</v>
      </c>
      <c r="E32" s="9" t="s">
        <v>471</v>
      </c>
      <c r="F32" s="10">
        <v>46290</v>
      </c>
      <c r="G32" s="9"/>
    </row>
    <row r="33" spans="1:7" ht="15" customHeight="1" x14ac:dyDescent="0.25">
      <c r="A33" s="9" t="s">
        <v>197</v>
      </c>
      <c r="B33" s="9" t="s">
        <v>408</v>
      </c>
      <c r="C33" s="9">
        <v>2580</v>
      </c>
      <c r="D33" s="9" t="s">
        <v>472</v>
      </c>
      <c r="E33" s="9" t="s">
        <v>473</v>
      </c>
      <c r="F33" s="10">
        <v>46290</v>
      </c>
      <c r="G33" s="9"/>
    </row>
    <row r="34" spans="1:7" ht="23.25" customHeight="1" x14ac:dyDescent="0.25">
      <c r="A34" s="9" t="s">
        <v>474</v>
      </c>
      <c r="B34" s="9" t="s">
        <v>385</v>
      </c>
      <c r="C34" s="9">
        <v>400646</v>
      </c>
      <c r="D34" s="9" t="s">
        <v>475</v>
      </c>
      <c r="E34" s="9" t="s">
        <v>476</v>
      </c>
      <c r="F34" s="10">
        <v>46291</v>
      </c>
      <c r="G34" s="9"/>
    </row>
    <row r="35" spans="1:7" ht="23.25" customHeight="1" x14ac:dyDescent="0.25">
      <c r="A35" s="9" t="s">
        <v>477</v>
      </c>
      <c r="B35" s="9" t="s">
        <v>478</v>
      </c>
      <c r="C35" s="9">
        <v>13150</v>
      </c>
      <c r="D35" s="9" t="s">
        <v>479</v>
      </c>
      <c r="E35" s="9" t="s">
        <v>480</v>
      </c>
      <c r="F35" s="10">
        <v>46291</v>
      </c>
      <c r="G35" s="9"/>
    </row>
    <row r="36" spans="1:7" ht="23.25" customHeight="1" x14ac:dyDescent="0.25">
      <c r="A36" s="9" t="s">
        <v>481</v>
      </c>
      <c r="B36" s="9" t="s">
        <v>401</v>
      </c>
      <c r="C36" s="9">
        <v>11135</v>
      </c>
      <c r="D36" s="9" t="s">
        <v>482</v>
      </c>
      <c r="E36" s="9" t="s">
        <v>483</v>
      </c>
      <c r="F36" s="10">
        <v>46291</v>
      </c>
      <c r="G36" s="9"/>
    </row>
    <row r="37" spans="1:7" ht="23.25" customHeight="1" x14ac:dyDescent="0.25">
      <c r="A37" s="9" t="s">
        <v>484</v>
      </c>
      <c r="B37" s="9" t="s">
        <v>385</v>
      </c>
      <c r="C37" s="9">
        <v>1640514</v>
      </c>
      <c r="D37" s="9" t="s">
        <v>485</v>
      </c>
      <c r="E37" s="9" t="s">
        <v>486</v>
      </c>
      <c r="F37" s="10">
        <v>46291</v>
      </c>
      <c r="G37" s="9"/>
    </row>
    <row r="38" spans="1:7" ht="15" customHeight="1" x14ac:dyDescent="0.25">
      <c r="A38" s="9" t="s">
        <v>487</v>
      </c>
      <c r="B38" s="9" t="s">
        <v>385</v>
      </c>
      <c r="C38" s="9">
        <v>354138</v>
      </c>
      <c r="D38" s="9" t="s">
        <v>488</v>
      </c>
      <c r="E38" s="9" t="s">
        <v>489</v>
      </c>
      <c r="F38" s="10">
        <v>46291</v>
      </c>
      <c r="G38" s="9"/>
    </row>
    <row r="39" spans="1:7" ht="23.25" customHeight="1" x14ac:dyDescent="0.25">
      <c r="A39" s="9" t="s">
        <v>490</v>
      </c>
      <c r="B39" s="9" t="s">
        <v>385</v>
      </c>
      <c r="C39" s="9">
        <v>354683</v>
      </c>
      <c r="D39" s="9" t="s">
        <v>491</v>
      </c>
      <c r="E39" s="9" t="s">
        <v>492</v>
      </c>
      <c r="F39" s="10">
        <v>46291</v>
      </c>
      <c r="G39" s="9"/>
    </row>
    <row r="40" spans="1:7" ht="23.25" customHeight="1" x14ac:dyDescent="0.25">
      <c r="A40" s="9" t="s">
        <v>214</v>
      </c>
      <c r="B40" s="9" t="s">
        <v>408</v>
      </c>
      <c r="C40" s="9">
        <v>23697</v>
      </c>
      <c r="D40" s="9" t="s">
        <v>493</v>
      </c>
      <c r="E40" s="9" t="s">
        <v>494</v>
      </c>
      <c r="F40" s="10">
        <v>46291</v>
      </c>
      <c r="G40" s="9"/>
    </row>
    <row r="41" spans="1:7" ht="15" customHeight="1" x14ac:dyDescent="0.25">
      <c r="A41" s="9" t="s">
        <v>219</v>
      </c>
      <c r="B41" s="9" t="s">
        <v>408</v>
      </c>
      <c r="C41" s="9">
        <v>7023</v>
      </c>
      <c r="D41" s="9" t="s">
        <v>495</v>
      </c>
      <c r="E41" s="9" t="s">
        <v>496</v>
      </c>
      <c r="F41" s="10">
        <v>46291</v>
      </c>
      <c r="G41" s="9"/>
    </row>
    <row r="42" spans="1:7" ht="23.25" customHeight="1" x14ac:dyDescent="0.25">
      <c r="A42" s="9" t="s">
        <v>223</v>
      </c>
      <c r="B42" s="9" t="s">
        <v>408</v>
      </c>
      <c r="C42" s="9">
        <v>21297</v>
      </c>
      <c r="D42" s="9" t="s">
        <v>497</v>
      </c>
      <c r="E42" s="9" t="s">
        <v>498</v>
      </c>
      <c r="F42" s="10">
        <v>46291</v>
      </c>
      <c r="G42" s="9"/>
    </row>
    <row r="43" spans="1:7" ht="23.25" customHeight="1" x14ac:dyDescent="0.25">
      <c r="A43" s="9" t="s">
        <v>228</v>
      </c>
      <c r="B43" s="9" t="s">
        <v>408</v>
      </c>
      <c r="C43" s="9">
        <v>21297</v>
      </c>
      <c r="D43" s="9" t="s">
        <v>497</v>
      </c>
      <c r="E43" s="9" t="s">
        <v>499</v>
      </c>
      <c r="F43" s="10">
        <v>46291</v>
      </c>
      <c r="G43" s="9"/>
    </row>
    <row r="44" spans="1:7" ht="23.25" customHeight="1" x14ac:dyDescent="0.25">
      <c r="A44" s="9" t="s">
        <v>231</v>
      </c>
      <c r="B44" s="9" t="s">
        <v>408</v>
      </c>
      <c r="C44" s="9">
        <v>7023</v>
      </c>
      <c r="D44" s="9" t="s">
        <v>495</v>
      </c>
      <c r="E44" s="9" t="s">
        <v>500</v>
      </c>
      <c r="F44" s="10">
        <v>46291</v>
      </c>
      <c r="G44" s="9"/>
    </row>
    <row r="45" spans="1:7" ht="15" customHeight="1" x14ac:dyDescent="0.25">
      <c r="A45" s="9" t="s">
        <v>234</v>
      </c>
      <c r="B45" s="9" t="s">
        <v>408</v>
      </c>
      <c r="C45" s="9">
        <v>13590</v>
      </c>
      <c r="D45" s="9" t="s">
        <v>409</v>
      </c>
      <c r="E45" s="9" t="s">
        <v>501</v>
      </c>
      <c r="F45" s="10">
        <v>46291</v>
      </c>
      <c r="G45" s="9"/>
    </row>
    <row r="46" spans="1:7" ht="15" customHeight="1" x14ac:dyDescent="0.25">
      <c r="A46" s="9" t="s">
        <v>237</v>
      </c>
      <c r="B46" s="9" t="s">
        <v>408</v>
      </c>
      <c r="C46" s="9">
        <v>9337</v>
      </c>
      <c r="D46" s="9" t="s">
        <v>415</v>
      </c>
      <c r="E46" s="9" t="s">
        <v>502</v>
      </c>
      <c r="F46" s="10">
        <v>46291</v>
      </c>
      <c r="G46" s="9"/>
    </row>
    <row r="47" spans="1:7" ht="23.25" customHeight="1" x14ac:dyDescent="0.25">
      <c r="A47" s="9" t="s">
        <v>240</v>
      </c>
      <c r="B47" s="9" t="s">
        <v>408</v>
      </c>
      <c r="C47" s="9">
        <v>2595</v>
      </c>
      <c r="D47" s="9" t="s">
        <v>425</v>
      </c>
      <c r="E47" s="9" t="s">
        <v>503</v>
      </c>
      <c r="F47" s="10">
        <v>46291</v>
      </c>
      <c r="G47" s="9"/>
    </row>
    <row r="48" spans="1:7" ht="23.25" customHeight="1" x14ac:dyDescent="0.25">
      <c r="A48" s="9" t="s">
        <v>242</v>
      </c>
      <c r="B48" s="9" t="s">
        <v>408</v>
      </c>
      <c r="C48" s="9">
        <v>2580</v>
      </c>
      <c r="D48" s="9" t="s">
        <v>472</v>
      </c>
      <c r="E48" s="9" t="s">
        <v>504</v>
      </c>
      <c r="F48" s="10">
        <v>46291</v>
      </c>
      <c r="G48" s="9"/>
    </row>
    <row r="49" spans="1:7" ht="23.25" customHeight="1" x14ac:dyDescent="0.25">
      <c r="A49" s="9" t="s">
        <v>244</v>
      </c>
      <c r="B49" s="9" t="s">
        <v>408</v>
      </c>
      <c r="C49" s="9">
        <v>13093</v>
      </c>
      <c r="D49" s="9" t="s">
        <v>470</v>
      </c>
      <c r="E49" s="9" t="s">
        <v>505</v>
      </c>
      <c r="F49" s="10">
        <v>46291</v>
      </c>
      <c r="G49" s="9"/>
    </row>
    <row r="50" spans="1:7" ht="23.25" customHeight="1" x14ac:dyDescent="0.25">
      <c r="A50" s="9" t="s">
        <v>246</v>
      </c>
      <c r="B50" s="9" t="s">
        <v>408</v>
      </c>
      <c r="C50" s="9">
        <v>2667</v>
      </c>
      <c r="D50" s="9" t="s">
        <v>463</v>
      </c>
      <c r="E50" s="9" t="s">
        <v>506</v>
      </c>
      <c r="F50" s="10">
        <v>46291</v>
      </c>
      <c r="G50" s="9"/>
    </row>
    <row r="51" spans="1:7" ht="23.25" customHeight="1" x14ac:dyDescent="0.25">
      <c r="A51" s="9" t="s">
        <v>249</v>
      </c>
      <c r="B51" s="9" t="s">
        <v>408</v>
      </c>
      <c r="C51" s="9">
        <v>3400</v>
      </c>
      <c r="D51" s="9" t="s">
        <v>507</v>
      </c>
      <c r="E51" s="9" t="s">
        <v>508</v>
      </c>
      <c r="F51" s="10">
        <v>46291</v>
      </c>
      <c r="G51" s="9"/>
    </row>
    <row r="52" spans="1:7" ht="23.25" customHeight="1" x14ac:dyDescent="0.25">
      <c r="A52" s="9" t="s">
        <v>251</v>
      </c>
      <c r="B52" s="9" t="s">
        <v>408</v>
      </c>
      <c r="C52" s="9">
        <v>23697</v>
      </c>
      <c r="D52" s="9" t="s">
        <v>493</v>
      </c>
      <c r="E52" s="9" t="s">
        <v>509</v>
      </c>
      <c r="F52" s="10">
        <v>46291</v>
      </c>
      <c r="G52" s="9"/>
    </row>
    <row r="53" spans="1:7" ht="15" customHeight="1" x14ac:dyDescent="0.25">
      <c r="A53" s="9" t="s">
        <v>259</v>
      </c>
      <c r="B53" s="9" t="s">
        <v>405</v>
      </c>
      <c r="C53" s="9">
        <v>4533</v>
      </c>
      <c r="D53" s="9" t="s">
        <v>510</v>
      </c>
      <c r="E53" s="9" t="s">
        <v>511</v>
      </c>
      <c r="F53" s="10">
        <v>46291</v>
      </c>
      <c r="G53" s="9"/>
    </row>
    <row r="54" spans="1:7" ht="15" customHeight="1" x14ac:dyDescent="0.25">
      <c r="A54" s="9" t="s">
        <v>264</v>
      </c>
      <c r="B54" s="9" t="s">
        <v>408</v>
      </c>
      <c r="C54" s="9">
        <v>2312</v>
      </c>
      <c r="D54" s="9" t="s">
        <v>512</v>
      </c>
      <c r="E54" s="9" t="s">
        <v>513</v>
      </c>
      <c r="F54" s="10">
        <v>46291</v>
      </c>
      <c r="G54" s="9"/>
    </row>
    <row r="55" spans="1:7" ht="15" customHeight="1" x14ac:dyDescent="0.25">
      <c r="A55" s="9" t="s">
        <v>514</v>
      </c>
      <c r="B55" s="9" t="s">
        <v>401</v>
      </c>
      <c r="C55" s="9">
        <v>249</v>
      </c>
      <c r="D55" s="9" t="s">
        <v>515</v>
      </c>
      <c r="E55" s="9" t="s">
        <v>516</v>
      </c>
      <c r="F55" s="10">
        <v>46291</v>
      </c>
      <c r="G55" s="9"/>
    </row>
    <row r="56" spans="1:7" ht="15" customHeight="1" x14ac:dyDescent="0.25">
      <c r="A56" s="9" t="s">
        <v>268</v>
      </c>
      <c r="B56" s="9" t="s">
        <v>408</v>
      </c>
      <c r="C56" s="9">
        <v>1978</v>
      </c>
      <c r="D56" s="9" t="s">
        <v>517</v>
      </c>
      <c r="E56" s="9" t="s">
        <v>518</v>
      </c>
      <c r="F56" s="10">
        <v>46291</v>
      </c>
      <c r="G56" s="9"/>
    </row>
    <row r="57" spans="1:7" ht="23.25" customHeight="1" x14ac:dyDescent="0.25">
      <c r="A57" s="9" t="s">
        <v>519</v>
      </c>
      <c r="B57" s="9" t="s">
        <v>385</v>
      </c>
      <c r="C57" s="9">
        <v>7621</v>
      </c>
      <c r="D57" s="9" t="s">
        <v>520</v>
      </c>
      <c r="E57" s="9" t="s">
        <v>521</v>
      </c>
      <c r="F57" s="10">
        <v>46291</v>
      </c>
      <c r="G57" s="9"/>
    </row>
    <row r="58" spans="1:7" ht="15" customHeight="1" x14ac:dyDescent="0.25">
      <c r="A58" s="9" t="s">
        <v>522</v>
      </c>
      <c r="B58" s="9" t="s">
        <v>401</v>
      </c>
      <c r="C58" s="9">
        <v>91</v>
      </c>
      <c r="D58" s="9" t="s">
        <v>523</v>
      </c>
      <c r="E58" s="9" t="s">
        <v>524</v>
      </c>
      <c r="F58" s="10">
        <v>46291</v>
      </c>
      <c r="G58" s="9"/>
    </row>
    <row r="59" spans="1:7" ht="15" customHeight="1" x14ac:dyDescent="0.25">
      <c r="A59" s="9" t="s">
        <v>272</v>
      </c>
      <c r="B59" s="9" t="s">
        <v>408</v>
      </c>
      <c r="C59" s="9">
        <v>2196</v>
      </c>
      <c r="D59" s="9" t="s">
        <v>525</v>
      </c>
      <c r="E59" s="9" t="s">
        <v>526</v>
      </c>
      <c r="F59" s="10">
        <v>46291</v>
      </c>
      <c r="G59" s="9"/>
    </row>
    <row r="60" spans="1:7" ht="23.25" customHeight="1" x14ac:dyDescent="0.25">
      <c r="A60" s="9" t="s">
        <v>527</v>
      </c>
      <c r="B60" s="9" t="s">
        <v>385</v>
      </c>
      <c r="C60" s="9">
        <v>7769</v>
      </c>
      <c r="D60" s="9" t="s">
        <v>528</v>
      </c>
      <c r="E60" s="9" t="s">
        <v>529</v>
      </c>
      <c r="F60" s="10">
        <v>46291</v>
      </c>
      <c r="G60" s="9"/>
    </row>
    <row r="61" spans="1:7" ht="15" customHeight="1" x14ac:dyDescent="0.25">
      <c r="A61" s="9" t="s">
        <v>530</v>
      </c>
      <c r="B61" s="9" t="s">
        <v>401</v>
      </c>
      <c r="C61" s="9">
        <v>108</v>
      </c>
      <c r="D61" s="9" t="s">
        <v>531</v>
      </c>
      <c r="E61" s="9" t="s">
        <v>532</v>
      </c>
      <c r="F61" s="10">
        <v>46291</v>
      </c>
      <c r="G61" s="9"/>
    </row>
    <row r="62" spans="1:7" ht="15" customHeight="1" x14ac:dyDescent="0.25">
      <c r="A62" s="9" t="s">
        <v>281</v>
      </c>
      <c r="B62" s="9" t="s">
        <v>408</v>
      </c>
      <c r="C62" s="9">
        <v>2576</v>
      </c>
      <c r="D62" s="9" t="s">
        <v>533</v>
      </c>
      <c r="E62" s="9" t="s">
        <v>534</v>
      </c>
      <c r="F62" s="10">
        <v>46291</v>
      </c>
      <c r="G62" s="9"/>
    </row>
    <row r="63" spans="1:7" ht="15" customHeight="1" x14ac:dyDescent="0.25">
      <c r="A63" s="9" t="s">
        <v>535</v>
      </c>
      <c r="B63" s="9" t="s">
        <v>401</v>
      </c>
      <c r="C63" s="9">
        <v>363</v>
      </c>
      <c r="D63" s="9" t="s">
        <v>536</v>
      </c>
      <c r="E63" s="9" t="s">
        <v>537</v>
      </c>
      <c r="F63" s="10">
        <v>46291</v>
      </c>
      <c r="G63" s="9"/>
    </row>
    <row r="64" spans="1:7" ht="15" customHeight="1" x14ac:dyDescent="0.25">
      <c r="A64" s="9" t="s">
        <v>295</v>
      </c>
      <c r="B64" s="9" t="s">
        <v>408</v>
      </c>
      <c r="C64" s="9">
        <v>3878</v>
      </c>
      <c r="D64" s="9" t="s">
        <v>538</v>
      </c>
      <c r="E64" s="9" t="s">
        <v>539</v>
      </c>
      <c r="F64" s="10">
        <v>46291</v>
      </c>
      <c r="G64" s="9"/>
    </row>
    <row r="65" spans="1:7" ht="15" customHeight="1" x14ac:dyDescent="0.25">
      <c r="A65" s="9" t="s">
        <v>540</v>
      </c>
      <c r="B65" s="9" t="s">
        <v>401</v>
      </c>
      <c r="C65" s="9">
        <v>226</v>
      </c>
      <c r="D65" s="9" t="s">
        <v>541</v>
      </c>
      <c r="E65" s="9" t="s">
        <v>542</v>
      </c>
      <c r="F65" s="10">
        <v>46291</v>
      </c>
      <c r="G65" s="9"/>
    </row>
    <row r="66" spans="1:7" ht="15" customHeight="1" x14ac:dyDescent="0.25">
      <c r="A66" s="9" t="s">
        <v>543</v>
      </c>
      <c r="B66" s="9" t="s">
        <v>401</v>
      </c>
      <c r="C66" s="9">
        <v>240</v>
      </c>
      <c r="D66" s="9" t="s">
        <v>544</v>
      </c>
      <c r="E66" s="9" t="s">
        <v>545</v>
      </c>
      <c r="F66" s="10">
        <v>46291</v>
      </c>
      <c r="G66" s="9"/>
    </row>
    <row r="67" spans="1:7" ht="15" customHeight="1" x14ac:dyDescent="0.25">
      <c r="A67" s="9" t="s">
        <v>546</v>
      </c>
      <c r="B67" s="9" t="s">
        <v>385</v>
      </c>
      <c r="C67" s="9">
        <v>10584</v>
      </c>
      <c r="D67" s="9" t="s">
        <v>547</v>
      </c>
      <c r="E67" s="9" t="s">
        <v>548</v>
      </c>
      <c r="F67" s="10">
        <v>46291</v>
      </c>
      <c r="G67" s="9"/>
    </row>
    <row r="68" spans="1:7" ht="15" customHeight="1" x14ac:dyDescent="0.25">
      <c r="A68" s="9" t="s">
        <v>374</v>
      </c>
      <c r="B68" s="9" t="s">
        <v>385</v>
      </c>
      <c r="C68" s="9">
        <v>14634</v>
      </c>
      <c r="D68" s="9" t="s">
        <v>549</v>
      </c>
      <c r="E68" s="9" t="s">
        <v>550</v>
      </c>
      <c r="F68" s="10">
        <v>46291</v>
      </c>
      <c r="G68" s="9"/>
    </row>
    <row r="69" spans="1:7" ht="15" customHeight="1" x14ac:dyDescent="0.25">
      <c r="A69" s="9" t="s">
        <v>299</v>
      </c>
      <c r="B69" s="9" t="s">
        <v>405</v>
      </c>
      <c r="C69" s="9">
        <v>6566</v>
      </c>
      <c r="D69" s="9" t="s">
        <v>551</v>
      </c>
      <c r="E69" s="9" t="s">
        <v>552</v>
      </c>
      <c r="F69" s="10">
        <v>46291</v>
      </c>
      <c r="G69" s="9"/>
    </row>
    <row r="70" spans="1:7" ht="15" customHeight="1" x14ac:dyDescent="0.25">
      <c r="A70" s="9" t="s">
        <v>304</v>
      </c>
      <c r="B70" s="9" t="s">
        <v>408</v>
      </c>
      <c r="C70" s="9">
        <v>1746</v>
      </c>
      <c r="D70" s="9" t="s">
        <v>553</v>
      </c>
      <c r="E70" s="9" t="s">
        <v>554</v>
      </c>
      <c r="F70" s="10">
        <v>46291</v>
      </c>
      <c r="G70" s="9"/>
    </row>
    <row r="71" spans="1:7" ht="15" customHeight="1" x14ac:dyDescent="0.25">
      <c r="A71" s="9" t="s">
        <v>308</v>
      </c>
      <c r="B71" s="9" t="s">
        <v>408</v>
      </c>
      <c r="C71" s="9">
        <v>2834</v>
      </c>
      <c r="D71" s="9" t="s">
        <v>555</v>
      </c>
      <c r="E71" s="9" t="s">
        <v>556</v>
      </c>
      <c r="F71" s="10">
        <v>46291</v>
      </c>
      <c r="G71" s="9"/>
    </row>
    <row r="72" spans="1:7" ht="15" customHeight="1" x14ac:dyDescent="0.25">
      <c r="A72" s="9" t="s">
        <v>557</v>
      </c>
      <c r="B72" s="9" t="s">
        <v>478</v>
      </c>
      <c r="C72" s="9">
        <v>6113</v>
      </c>
      <c r="D72" s="9" t="s">
        <v>558</v>
      </c>
      <c r="E72" s="9" t="s">
        <v>559</v>
      </c>
      <c r="F72" s="10">
        <v>46291</v>
      </c>
      <c r="G72" s="9"/>
    </row>
    <row r="73" spans="1:7" ht="15" customHeight="1" x14ac:dyDescent="0.25">
      <c r="A73" s="9" t="s">
        <v>560</v>
      </c>
      <c r="B73" s="9" t="s">
        <v>401</v>
      </c>
      <c r="C73" s="9">
        <v>5067</v>
      </c>
      <c r="D73" s="9" t="s">
        <v>561</v>
      </c>
      <c r="E73" s="9" t="s">
        <v>562</v>
      </c>
      <c r="F73" s="10">
        <v>46291</v>
      </c>
      <c r="G73" s="9"/>
    </row>
    <row r="74" spans="1:7" ht="15" customHeight="1" x14ac:dyDescent="0.25">
      <c r="A74" s="9" t="s">
        <v>314</v>
      </c>
      <c r="B74" s="9" t="s">
        <v>405</v>
      </c>
      <c r="C74" s="9">
        <v>3798</v>
      </c>
      <c r="D74" s="9" t="s">
        <v>563</v>
      </c>
      <c r="E74" s="9" t="s">
        <v>564</v>
      </c>
      <c r="F74" s="10">
        <v>46291</v>
      </c>
      <c r="G74" s="9"/>
    </row>
    <row r="75" spans="1:7" x14ac:dyDescent="0.25">
      <c r="A75" s="9" t="s">
        <v>565</v>
      </c>
      <c r="B75" s="9" t="s">
        <v>566</v>
      </c>
      <c r="C75" s="9">
        <v>15045</v>
      </c>
      <c r="D75" s="9" t="s">
        <v>567</v>
      </c>
      <c r="E75" s="9" t="s">
        <v>568</v>
      </c>
      <c r="F75" s="10">
        <v>46292</v>
      </c>
      <c r="G75" s="9"/>
    </row>
    <row r="76" spans="1:7" x14ac:dyDescent="0.25">
      <c r="A76" s="9" t="s">
        <v>569</v>
      </c>
      <c r="B76" s="9" t="s">
        <v>570</v>
      </c>
      <c r="C76" s="9">
        <v>92327</v>
      </c>
      <c r="D76" s="9" t="s">
        <v>571</v>
      </c>
      <c r="E76" s="9" t="s">
        <v>572</v>
      </c>
      <c r="F76" s="10">
        <v>46292</v>
      </c>
      <c r="G76" s="9"/>
    </row>
    <row r="77" spans="1:7" x14ac:dyDescent="0.25">
      <c r="A77" s="9" t="s">
        <v>573</v>
      </c>
      <c r="B77" s="9" t="s">
        <v>570</v>
      </c>
      <c r="C77" s="9">
        <v>1243061</v>
      </c>
      <c r="D77" s="9" t="s">
        <v>574</v>
      </c>
      <c r="E77" s="9" t="s">
        <v>575</v>
      </c>
      <c r="F77" s="10">
        <v>46292</v>
      </c>
      <c r="G77" s="9"/>
    </row>
    <row r="78" spans="1:7" x14ac:dyDescent="0.25">
      <c r="A78" s="9" t="s">
        <v>576</v>
      </c>
      <c r="B78" s="9" t="s">
        <v>577</v>
      </c>
      <c r="C78" s="9">
        <v>992824</v>
      </c>
      <c r="D78" s="9" t="s">
        <v>578</v>
      </c>
      <c r="E78" s="9" t="s">
        <v>579</v>
      </c>
      <c r="F78" s="10">
        <v>46292</v>
      </c>
      <c r="G78" s="9"/>
    </row>
    <row r="79" spans="1:7" x14ac:dyDescent="0.25">
      <c r="A79" s="9" t="s">
        <v>324</v>
      </c>
      <c r="B79" s="9" t="s">
        <v>580</v>
      </c>
      <c r="C79" s="9">
        <v>18023</v>
      </c>
      <c r="D79" s="9" t="s">
        <v>581</v>
      </c>
      <c r="E79" s="9" t="s">
        <v>582</v>
      </c>
      <c r="F79" s="10">
        <v>46292</v>
      </c>
      <c r="G79" s="9"/>
    </row>
    <row r="80" spans="1:7" ht="25.5" x14ac:dyDescent="0.25">
      <c r="A80" s="9" t="s">
        <v>332</v>
      </c>
      <c r="B80" s="9" t="s">
        <v>580</v>
      </c>
      <c r="C80" s="9">
        <v>16963</v>
      </c>
      <c r="D80" s="9" t="s">
        <v>583</v>
      </c>
      <c r="E80" s="9" t="s">
        <v>584</v>
      </c>
      <c r="F80" s="10">
        <v>46292</v>
      </c>
      <c r="G80" s="9"/>
    </row>
  </sheetData>
  <autoFilter ref="A1:G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6"/>
  <sheetViews>
    <sheetView zoomScaleNormal="100" workbookViewId="0">
      <pane ySplit="1" topLeftCell="A2" activePane="bottomLeft" state="frozen"/>
      <selection pane="bottomLeft"/>
    </sheetView>
  </sheetViews>
  <sheetFormatPr defaultColWidth="8.7109375" defaultRowHeight="15" x14ac:dyDescent="0.25"/>
  <cols>
    <col min="1" max="1" width="10" style="1" customWidth="1"/>
    <col min="2" max="2" width="12" style="1" customWidth="1"/>
    <col min="3" max="3" width="10" style="1" customWidth="1"/>
    <col min="4" max="4" width="16" style="1" customWidth="1"/>
    <col min="5" max="5" width="44" style="1" customWidth="1"/>
    <col min="6" max="6" width="10" style="1" customWidth="1"/>
    <col min="7" max="7" width="40" style="1" customWidth="1"/>
    <col min="8" max="8" width="20" style="1" customWidth="1"/>
    <col min="9" max="9" width="14" style="1" customWidth="1"/>
    <col min="10" max="10" width="22" style="1" customWidth="1"/>
    <col min="11" max="11" width="34" style="1" customWidth="1"/>
    <col min="12" max="12" width="18" style="1" customWidth="1"/>
    <col min="13" max="13" width="8" style="1" customWidth="1"/>
    <col min="14" max="14" width="9" style="1" customWidth="1"/>
    <col min="15" max="15" width="8" style="1" customWidth="1"/>
    <col min="16" max="16" width="14" style="1" customWidth="1"/>
    <col min="17" max="17" width="10" style="1" customWidth="1"/>
    <col min="18" max="18" width="28" style="1" customWidth="1"/>
    <col min="19" max="19" width="14" style="1" customWidth="1"/>
    <col min="20" max="21" width="13" style="1" customWidth="1"/>
    <col min="22" max="22" width="18" style="1" customWidth="1"/>
    <col min="23" max="23" width="14" style="1" customWidth="1"/>
    <col min="24" max="24" width="20" style="1" customWidth="1"/>
    <col min="25" max="25" width="34" style="1" customWidth="1"/>
    <col min="26" max="26" width="44" style="1" customWidth="1"/>
    <col min="27" max="27" width="12" style="1" customWidth="1"/>
    <col min="28" max="28" width="16" style="1" customWidth="1"/>
  </cols>
  <sheetData>
    <row r="1" spans="1:28" ht="31.5" customHeight="1" x14ac:dyDescent="0.25">
      <c r="A1" s="5" t="s">
        <v>585</v>
      </c>
      <c r="B1" s="5" t="s">
        <v>335</v>
      </c>
      <c r="C1" s="5" t="s">
        <v>586</v>
      </c>
      <c r="D1" s="5" t="s">
        <v>5</v>
      </c>
      <c r="E1" s="5" t="s">
        <v>587</v>
      </c>
      <c r="F1" s="5" t="s">
        <v>588</v>
      </c>
      <c r="G1" s="5" t="s">
        <v>589</v>
      </c>
      <c r="H1" s="5" t="s">
        <v>590</v>
      </c>
      <c r="I1" s="5" t="s">
        <v>591</v>
      </c>
      <c r="J1" s="5" t="s">
        <v>592</v>
      </c>
      <c r="K1" s="5" t="s">
        <v>593</v>
      </c>
      <c r="L1" s="5" t="s">
        <v>594</v>
      </c>
      <c r="M1" s="5" t="s">
        <v>595</v>
      </c>
      <c r="N1" s="5" t="s">
        <v>596</v>
      </c>
      <c r="O1" s="5" t="s">
        <v>597</v>
      </c>
      <c r="P1" s="5" t="s">
        <v>598</v>
      </c>
      <c r="Q1" s="5" t="s">
        <v>599</v>
      </c>
      <c r="R1" s="5" t="s">
        <v>600</v>
      </c>
      <c r="S1" s="5" t="s">
        <v>601</v>
      </c>
      <c r="T1" s="5" t="s">
        <v>602</v>
      </c>
      <c r="U1" s="5" t="s">
        <v>603</v>
      </c>
      <c r="V1" s="5" t="s">
        <v>604</v>
      </c>
      <c r="W1" s="5" t="s">
        <v>605</v>
      </c>
      <c r="X1" s="5" t="s">
        <v>606</v>
      </c>
      <c r="Y1" s="5" t="s">
        <v>607</v>
      </c>
      <c r="Z1" s="5" t="s">
        <v>608</v>
      </c>
      <c r="AA1" s="5" t="s">
        <v>11</v>
      </c>
      <c r="AB1" s="5" t="s">
        <v>341</v>
      </c>
    </row>
    <row r="2" spans="1:28" ht="45.75" customHeight="1" x14ac:dyDescent="0.25">
      <c r="A2" s="9" t="s">
        <v>609</v>
      </c>
      <c r="B2" s="10">
        <v>46291</v>
      </c>
      <c r="C2" s="11">
        <v>0.445081018518519</v>
      </c>
      <c r="D2" s="9" t="s">
        <v>42</v>
      </c>
      <c r="E2" s="9" t="s">
        <v>610</v>
      </c>
      <c r="F2" s="9"/>
      <c r="G2" s="9"/>
      <c r="H2" s="9" t="s">
        <v>611</v>
      </c>
      <c r="I2" s="9"/>
      <c r="J2" s="9" t="s">
        <v>612</v>
      </c>
      <c r="K2" s="9"/>
      <c r="L2" s="9"/>
      <c r="M2" s="9"/>
      <c r="N2" s="9"/>
      <c r="O2" s="9"/>
      <c r="P2" s="9"/>
      <c r="Q2" s="9"/>
      <c r="R2" s="9"/>
      <c r="S2" s="9" t="s">
        <v>613</v>
      </c>
      <c r="T2" s="9"/>
      <c r="U2" s="9">
        <v>0.40600000000000003</v>
      </c>
      <c r="V2" s="9"/>
      <c r="W2" s="9"/>
      <c r="X2" s="9"/>
      <c r="Y2" s="9"/>
      <c r="Z2" s="9" t="s">
        <v>614</v>
      </c>
      <c r="AA2" s="9" t="s">
        <v>51</v>
      </c>
      <c r="AB2" s="9"/>
    </row>
    <row r="3" spans="1:28" ht="57" customHeight="1" x14ac:dyDescent="0.25">
      <c r="A3" s="9" t="s">
        <v>615</v>
      </c>
      <c r="B3" s="10">
        <v>46291</v>
      </c>
      <c r="C3" s="11">
        <v>0.445081018518519</v>
      </c>
      <c r="D3" s="9" t="s">
        <v>42</v>
      </c>
      <c r="E3" s="9" t="s">
        <v>616</v>
      </c>
      <c r="F3" s="9"/>
      <c r="G3" s="9"/>
      <c r="H3" s="9" t="s">
        <v>617</v>
      </c>
      <c r="I3" s="9"/>
      <c r="J3" s="9" t="s">
        <v>618</v>
      </c>
      <c r="K3" s="9"/>
      <c r="L3" s="9"/>
      <c r="M3" s="9">
        <v>42</v>
      </c>
      <c r="N3" s="9"/>
      <c r="O3" s="9"/>
      <c r="P3" s="9"/>
      <c r="Q3" s="9"/>
      <c r="R3" s="9"/>
      <c r="S3" s="9" t="s">
        <v>613</v>
      </c>
      <c r="T3" s="9"/>
      <c r="U3" s="9">
        <v>0.12670000000000001</v>
      </c>
      <c r="V3" s="9"/>
      <c r="W3" s="9"/>
      <c r="X3" s="9"/>
      <c r="Y3" s="9"/>
      <c r="Z3" s="9" t="s">
        <v>619</v>
      </c>
      <c r="AA3" s="9" t="s">
        <v>51</v>
      </c>
      <c r="AB3" s="9"/>
    </row>
    <row r="4" spans="1:28" ht="102" customHeight="1" x14ac:dyDescent="0.25">
      <c r="A4" s="9" t="s">
        <v>620</v>
      </c>
      <c r="B4" s="10">
        <v>46291</v>
      </c>
      <c r="C4" s="11">
        <v>0.449895833333333</v>
      </c>
      <c r="D4" s="9" t="s">
        <v>42</v>
      </c>
      <c r="E4" s="9" t="s">
        <v>621</v>
      </c>
      <c r="F4" s="9" t="s">
        <v>615</v>
      </c>
      <c r="G4" s="9"/>
      <c r="H4" s="9" t="s">
        <v>622</v>
      </c>
      <c r="I4" s="9"/>
      <c r="J4" s="9" t="s">
        <v>618</v>
      </c>
      <c r="K4" s="9"/>
      <c r="L4" s="9"/>
      <c r="M4" s="9"/>
      <c r="N4" s="9"/>
      <c r="O4" s="9"/>
      <c r="P4" s="9"/>
      <c r="Q4" s="9"/>
      <c r="R4" s="9"/>
      <c r="S4" s="9" t="s">
        <v>613</v>
      </c>
      <c r="T4" s="9"/>
      <c r="U4" s="9">
        <v>0.1143</v>
      </c>
      <c r="V4" s="9"/>
      <c r="W4" s="9"/>
      <c r="X4" s="9"/>
      <c r="Y4" s="9"/>
      <c r="Z4" s="9" t="s">
        <v>623</v>
      </c>
      <c r="AA4" s="9" t="s">
        <v>51</v>
      </c>
      <c r="AB4" s="9"/>
    </row>
    <row r="5" spans="1:28" ht="102" customHeight="1" x14ac:dyDescent="0.25">
      <c r="A5" s="9" t="s">
        <v>624</v>
      </c>
      <c r="B5" s="10">
        <v>46291</v>
      </c>
      <c r="C5" s="11">
        <v>0.62028935185185197</v>
      </c>
      <c r="D5" s="9" t="s">
        <v>42</v>
      </c>
      <c r="E5" s="9" t="s">
        <v>625</v>
      </c>
      <c r="F5" s="9" t="s">
        <v>620</v>
      </c>
      <c r="G5" s="9"/>
      <c r="H5" s="9" t="s">
        <v>626</v>
      </c>
      <c r="I5" s="9"/>
      <c r="J5" s="9" t="s">
        <v>618</v>
      </c>
      <c r="K5" s="9"/>
      <c r="L5" s="9"/>
      <c r="M5" s="9"/>
      <c r="N5" s="9"/>
      <c r="O5" s="9"/>
      <c r="P5" s="9"/>
      <c r="Q5" s="9"/>
      <c r="R5" s="9"/>
      <c r="S5" s="9" t="s">
        <v>613</v>
      </c>
      <c r="T5" s="9"/>
      <c r="U5" s="9">
        <v>0.11550000000000001</v>
      </c>
      <c r="V5" s="9">
        <v>0.13009999999999999</v>
      </c>
      <c r="W5" s="9"/>
      <c r="X5" s="9"/>
      <c r="Y5" s="9"/>
      <c r="Z5" s="9" t="s">
        <v>627</v>
      </c>
      <c r="AA5" s="9" t="s">
        <v>51</v>
      </c>
      <c r="AB5" s="9"/>
    </row>
    <row r="6" spans="1:28" ht="124.5" customHeight="1" x14ac:dyDescent="0.25">
      <c r="A6" s="9" t="s">
        <v>628</v>
      </c>
      <c r="B6" s="10">
        <v>46291</v>
      </c>
      <c r="C6" s="11">
        <v>0.63140046296296304</v>
      </c>
      <c r="D6" s="9" t="s">
        <v>42</v>
      </c>
      <c r="E6" s="9" t="s">
        <v>629</v>
      </c>
      <c r="F6" s="9" t="s">
        <v>615</v>
      </c>
      <c r="G6" s="9"/>
      <c r="H6" s="9" t="s">
        <v>630</v>
      </c>
      <c r="I6" s="9"/>
      <c r="J6" s="9" t="s">
        <v>612</v>
      </c>
      <c r="K6" s="9"/>
      <c r="L6" s="9"/>
      <c r="M6" s="9">
        <v>42</v>
      </c>
      <c r="N6" s="9"/>
      <c r="O6" s="9"/>
      <c r="P6" s="9"/>
      <c r="Q6" s="9"/>
      <c r="R6" s="9"/>
      <c r="S6" s="9" t="s">
        <v>613</v>
      </c>
      <c r="T6" s="9"/>
      <c r="U6" s="9">
        <v>0.1245</v>
      </c>
      <c r="V6" s="9"/>
      <c r="W6" s="9"/>
      <c r="X6" s="9"/>
      <c r="Y6" s="9"/>
      <c r="Z6" s="9" t="s">
        <v>631</v>
      </c>
      <c r="AA6" s="9" t="s">
        <v>51</v>
      </c>
      <c r="AB6" s="9"/>
    </row>
  </sheetData>
  <autoFilter ref="A1:AB1" xr:uid="{00000000-0009-0000-0000-000004000000}"/>
  <dataValidations count="1">
    <dataValidation type="list" allowBlank="1" sqref="AA2:AA1001" xr:uid="{00000000-0002-0000-0400-000000000000}">
      <formula1>"Planned,Running,Done,Failed,Abandoned"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1"/>
  <sheetViews>
    <sheetView zoomScaleNormal="100" workbookViewId="0"/>
  </sheetViews>
  <sheetFormatPr defaultColWidth="8.7109375" defaultRowHeight="15" x14ac:dyDescent="0.25"/>
  <cols>
    <col min="1" max="1" width="32" style="1" customWidth="1"/>
    <col min="2" max="2" width="14" style="1" customWidth="1"/>
    <col min="4" max="4" width="24" style="1" customWidth="1"/>
  </cols>
  <sheetData>
    <row r="1" spans="1:5" ht="15" customHeight="1" x14ac:dyDescent="0.25">
      <c r="A1" s="2" t="s">
        <v>632</v>
      </c>
      <c r="B1" s="13"/>
      <c r="C1" s="13"/>
      <c r="D1" s="13"/>
      <c r="E1" s="13"/>
    </row>
    <row r="2" spans="1:5" ht="15" customHeight="1" x14ac:dyDescent="0.25">
      <c r="A2" s="13"/>
      <c r="B2" s="13"/>
      <c r="C2" s="13"/>
      <c r="D2" s="13"/>
      <c r="E2" s="13"/>
    </row>
    <row r="3" spans="1:5" ht="15" customHeight="1" x14ac:dyDescent="0.25">
      <c r="A3" s="13" t="s">
        <v>633</v>
      </c>
      <c r="B3" s="13">
        <f>COUNTA(Change_Log!A2:A5000)</f>
        <v>76</v>
      </c>
      <c r="C3" s="13"/>
      <c r="D3" s="13" t="s">
        <v>634</v>
      </c>
      <c r="E3" s="13">
        <f>COUNTA(Experiments!A2:A5000)</f>
        <v>5</v>
      </c>
    </row>
    <row r="4" spans="1:5" ht="15" customHeight="1" x14ac:dyDescent="0.25">
      <c r="A4" s="13" t="s">
        <v>635</v>
      </c>
      <c r="B4" s="13">
        <f>COUNTA(Findings!A2:A5000)</f>
        <v>6</v>
      </c>
      <c r="C4" s="13"/>
      <c r="D4" s="13" t="s">
        <v>636</v>
      </c>
      <c r="E4" s="13">
        <f>COUNTIF(Experiments!AA2:AA5000,"Done")</f>
        <v>5</v>
      </c>
    </row>
    <row r="5" spans="1:5" ht="15" customHeight="1" x14ac:dyDescent="0.25">
      <c r="A5" s="13" t="s">
        <v>637</v>
      </c>
      <c r="B5" s="13">
        <f>COUNTIF(Findings!K2:K5000,"Open")</f>
        <v>1</v>
      </c>
      <c r="C5" s="13"/>
      <c r="D5" s="13" t="s">
        <v>638</v>
      </c>
      <c r="E5" s="13">
        <f>COUNTIF(Experiments!AA2:AA5000,"Failed")</f>
        <v>0</v>
      </c>
    </row>
    <row r="6" spans="1:5" ht="15" customHeight="1" x14ac:dyDescent="0.25">
      <c r="A6" s="13"/>
      <c r="B6" s="13"/>
      <c r="C6" s="13"/>
      <c r="D6" s="13"/>
      <c r="E6" s="13"/>
    </row>
    <row r="7" spans="1:5" ht="15" customHeight="1" x14ac:dyDescent="0.25">
      <c r="A7" s="14" t="s">
        <v>639</v>
      </c>
      <c r="B7" s="13"/>
      <c r="C7" s="13"/>
      <c r="D7" s="13"/>
      <c r="E7" s="13"/>
    </row>
    <row r="8" spans="1:5" ht="15" customHeight="1" x14ac:dyDescent="0.25">
      <c r="A8" s="13" t="s">
        <v>640</v>
      </c>
      <c r="B8" s="13">
        <f>COUNTIF(Change_Log!I2:I5000,A8)</f>
        <v>0</v>
      </c>
      <c r="C8" s="13"/>
      <c r="D8" s="13"/>
      <c r="E8" s="13"/>
    </row>
    <row r="9" spans="1:5" ht="15" customHeight="1" x14ac:dyDescent="0.25">
      <c r="A9" s="13" t="s">
        <v>641</v>
      </c>
      <c r="B9" s="13">
        <f>COUNTIF(Change_Log!I2:I5000,A9)</f>
        <v>0</v>
      </c>
      <c r="C9" s="13"/>
      <c r="D9" s="13"/>
      <c r="E9" s="13"/>
    </row>
    <row r="10" spans="1:5" ht="15" customHeight="1" x14ac:dyDescent="0.25">
      <c r="A10" s="13" t="s">
        <v>44</v>
      </c>
      <c r="B10" s="13">
        <f>COUNTIF(Change_Log!I2:I5000,A10)</f>
        <v>32</v>
      </c>
      <c r="C10" s="13"/>
      <c r="D10" s="13"/>
      <c r="E10" s="13"/>
    </row>
    <row r="11" spans="1:5" ht="15" customHeight="1" x14ac:dyDescent="0.25">
      <c r="A11" s="13" t="s">
        <v>186</v>
      </c>
      <c r="B11" s="13">
        <f>COUNTIF(Change_Log!I2:I5000,A11)</f>
        <v>13</v>
      </c>
      <c r="C11" s="13"/>
      <c r="D11" s="13"/>
      <c r="E11" s="13"/>
    </row>
    <row r="12" spans="1:5" ht="15" customHeight="1" x14ac:dyDescent="0.25">
      <c r="A12" s="13" t="s">
        <v>87</v>
      </c>
      <c r="B12" s="13">
        <f>COUNTIF(Change_Log!I2:I5000,A12)</f>
        <v>5</v>
      </c>
      <c r="C12" s="13"/>
      <c r="D12" s="13"/>
      <c r="E12" s="13"/>
    </row>
    <row r="13" spans="1:5" ht="15" customHeight="1" x14ac:dyDescent="0.25">
      <c r="A13" s="13" t="s">
        <v>642</v>
      </c>
      <c r="B13" s="13">
        <f>COUNTIF(Change_Log!I2:I5000,A13)</f>
        <v>0</v>
      </c>
      <c r="C13" s="13"/>
      <c r="D13" s="13"/>
      <c r="E13" s="13"/>
    </row>
    <row r="14" spans="1:5" ht="15" customHeight="1" x14ac:dyDescent="0.25">
      <c r="A14" s="13" t="s">
        <v>91</v>
      </c>
      <c r="B14" s="13">
        <f>COUNTIF(Change_Log!I2:I5000,A14)</f>
        <v>9</v>
      </c>
      <c r="C14" s="13"/>
      <c r="D14" s="13"/>
      <c r="E14" s="13"/>
    </row>
    <row r="15" spans="1:5" ht="15" customHeight="1" x14ac:dyDescent="0.25">
      <c r="A15" s="13" t="s">
        <v>146</v>
      </c>
      <c r="B15" s="13">
        <f>COUNTIF(Change_Log!I2:I5000,A15)</f>
        <v>3</v>
      </c>
      <c r="C15" s="13"/>
      <c r="D15" s="13"/>
      <c r="E15" s="13"/>
    </row>
    <row r="16" spans="1:5" ht="15" customHeight="1" x14ac:dyDescent="0.25">
      <c r="A16" s="13" t="s">
        <v>60</v>
      </c>
      <c r="B16" s="13">
        <f>COUNTIF(Change_Log!I2:I5000,A16)</f>
        <v>8</v>
      </c>
      <c r="C16" s="13"/>
      <c r="D16" s="13"/>
      <c r="E16" s="13"/>
    </row>
    <row r="17" spans="1:5" ht="15" customHeight="1" x14ac:dyDescent="0.25">
      <c r="A17" s="13" t="s">
        <v>127</v>
      </c>
      <c r="B17" s="13">
        <f>COUNTIF(Change_Log!I2:I5000,A17)</f>
        <v>6</v>
      </c>
      <c r="C17" s="13"/>
      <c r="D17" s="13"/>
      <c r="E17" s="13"/>
    </row>
    <row r="18" spans="1:5" ht="15" customHeight="1" x14ac:dyDescent="0.25">
      <c r="A18" s="13"/>
      <c r="B18" s="13"/>
      <c r="C18" s="13"/>
      <c r="D18" s="13"/>
      <c r="E18" s="13"/>
    </row>
    <row r="19" spans="1:5" ht="15" customHeight="1" x14ac:dyDescent="0.25">
      <c r="A19" s="14" t="s">
        <v>643</v>
      </c>
      <c r="B19" s="13"/>
      <c r="C19" s="13"/>
      <c r="D19" s="13"/>
      <c r="E19" s="13"/>
    </row>
    <row r="20" spans="1:5" ht="15" customHeight="1" x14ac:dyDescent="0.25">
      <c r="A20" s="13" t="s">
        <v>51</v>
      </c>
      <c r="B20" s="13">
        <f>COUNTIF(Change_Log!S2:S5000,A20)</f>
        <v>76</v>
      </c>
      <c r="C20" s="13"/>
      <c r="D20" s="13"/>
      <c r="E20" s="13"/>
    </row>
    <row r="21" spans="1:5" ht="15" customHeight="1" x14ac:dyDescent="0.25">
      <c r="A21" s="13" t="s">
        <v>378</v>
      </c>
      <c r="B21" s="13">
        <f>COUNTIF(Change_Log!S2:S5000,A21)</f>
        <v>0</v>
      </c>
      <c r="C21" s="13"/>
      <c r="D21" s="13"/>
      <c r="E21" s="13"/>
    </row>
    <row r="22" spans="1:5" ht="15" customHeight="1" x14ac:dyDescent="0.25">
      <c r="A22" s="13" t="s">
        <v>644</v>
      </c>
      <c r="B22" s="13">
        <f>COUNTIF(Change_Log!S2:S5000,A22)</f>
        <v>0</v>
      </c>
      <c r="C22" s="13"/>
      <c r="D22" s="13"/>
      <c r="E22" s="13"/>
    </row>
    <row r="23" spans="1:5" ht="15" customHeight="1" x14ac:dyDescent="0.25">
      <c r="A23" s="13" t="s">
        <v>645</v>
      </c>
      <c r="B23" s="13">
        <f>COUNTIF(Change_Log!S2:S5000,A23)</f>
        <v>0</v>
      </c>
      <c r="C23" s="13"/>
      <c r="D23" s="13"/>
      <c r="E23" s="13"/>
    </row>
    <row r="24" spans="1:5" ht="15" customHeight="1" x14ac:dyDescent="0.25">
      <c r="A24" s="13" t="s">
        <v>356</v>
      </c>
      <c r="B24" s="13">
        <f>COUNTIF(Change_Log!S2:S5000,A24)</f>
        <v>0</v>
      </c>
      <c r="C24" s="13"/>
      <c r="D24" s="13"/>
      <c r="E24" s="13"/>
    </row>
    <row r="25" spans="1:5" ht="15" customHeight="1" x14ac:dyDescent="0.25">
      <c r="A25" s="13"/>
      <c r="B25" s="13"/>
      <c r="C25" s="13"/>
      <c r="D25" s="13"/>
      <c r="E25" s="13"/>
    </row>
    <row r="26" spans="1:5" ht="15" customHeight="1" x14ac:dyDescent="0.25">
      <c r="A26" s="14" t="s">
        <v>646</v>
      </c>
      <c r="B26" s="13"/>
      <c r="C26" s="13"/>
      <c r="D26" s="13"/>
      <c r="E26" s="13"/>
    </row>
    <row r="27" spans="1:5" ht="15" customHeight="1" x14ac:dyDescent="0.25">
      <c r="A27" s="13" t="s">
        <v>50</v>
      </c>
      <c r="B27" s="13">
        <f>COUNTIF(Change_Log!R2:R5000,A27)</f>
        <v>76</v>
      </c>
      <c r="C27" s="13"/>
      <c r="D27" s="13"/>
      <c r="E27" s="13"/>
    </row>
    <row r="28" spans="1:5" ht="15" customHeight="1" x14ac:dyDescent="0.25">
      <c r="A28" s="13" t="s">
        <v>350</v>
      </c>
      <c r="B28" s="13">
        <f>COUNTIF(Change_Log!R2:R5000,A28)</f>
        <v>0</v>
      </c>
      <c r="C28" s="13"/>
      <c r="D28" s="13"/>
      <c r="E28" s="13"/>
    </row>
    <row r="29" spans="1:5" ht="15" customHeight="1" x14ac:dyDescent="0.25">
      <c r="A29" s="13" t="s">
        <v>343</v>
      </c>
      <c r="B29" s="13">
        <f>COUNTIF(Change_Log!R2:R5000,A29)</f>
        <v>0</v>
      </c>
      <c r="C29" s="13"/>
      <c r="D29" s="13"/>
      <c r="E29" s="13"/>
    </row>
    <row r="30" spans="1:5" ht="15" customHeight="1" x14ac:dyDescent="0.25">
      <c r="A30" s="13" t="s">
        <v>358</v>
      </c>
      <c r="B30" s="13">
        <f>COUNTIF(Change_Log!R2:R5000,A30)</f>
        <v>0</v>
      </c>
      <c r="C30" s="13"/>
      <c r="D30" s="13"/>
      <c r="E30" s="13"/>
    </row>
    <row r="31" spans="1:5" ht="15" customHeight="1" x14ac:dyDescent="0.25">
      <c r="A31" s="13" t="s">
        <v>647</v>
      </c>
      <c r="B31" s="13">
        <f>COUNTIF(Change_Log!R2:R5000,A31)</f>
        <v>0</v>
      </c>
      <c r="C31" s="13"/>
      <c r="D31" s="13"/>
      <c r="E31" s="1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Change_Log</vt:lpstr>
      <vt:lpstr>Findings</vt:lpstr>
      <vt:lpstr>File_Registry</vt:lpstr>
      <vt:lpstr>Experiments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2026-09-22T04:47:32Z</dcterms:created>
  <dcterms:modified xsi:type="dcterms:W3CDTF">2026-09-27T07:28:53Z</dcterms:modified>
  <dc:language>en-US</dc:language>
</cp:coreProperties>
</file>