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hange_Log" sheetId="2" state="visible" r:id="rId4"/>
    <sheet name="Findings" sheetId="3" state="visible" r:id="rId5"/>
    <sheet name="File_Registry" sheetId="4" state="visible" r:id="rId6"/>
    <sheet name="Experiments" sheetId="5" state="visible" r:id="rId7"/>
    <sheet name="Summary" sheetId="6" state="visible" r:id="rId8"/>
  </sheets>
  <definedNames>
    <definedName function="false" hidden="true" localSheetId="1" name="_xlnm._FilterDatabase" vbProcedure="false">Change_Log!$A$1:$X$1</definedName>
    <definedName function="false" hidden="true" localSheetId="4" name="_xlnm._FilterDatabase" vbProcedure="false">Experiments!$A$1:$AB$1</definedName>
    <definedName function="false" hidden="true" localSheetId="3" name="_xlnm._FilterDatabase" vbProcedure="false">File_Registry!$A$1:$G$1</definedName>
    <definedName function="false" hidden="true" localSheetId="2" name="_xlnm._FilterDatabase" vbProcedure="false">Findings!$A$1:$L$1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<sst xmlns="http://schemas.openxmlformats.org/spreadsheetml/2006/main" count="431" uniqueCount="238">
  <si>
    <t xml:space="preserve">change_log.xlsx - Nhật ký thay đổi dự án ML</t>
  </si>
  <si>
    <t xml:space="preserve">Quy ước</t>
  </si>
  <si>
    <t xml:space="preserve">Chỉ THÊM dòng (append-only). Không sửa/xóa dòng cũ; muốn đính chính thì thêm dòng mới và điền Liên_quan_Log_ID.</t>
  </si>
  <si>
    <t xml:space="preserve">Loại_hành_động</t>
  </si>
  <si>
    <t xml:space="preserve">EXPLORE đọc/khám phá | DISCOVER phát hiện mới | CREATE tạo file | MODIFY sửa | FIX sửa lỗi | DELETE xóa | RUN chạy code/lệnh | VERIFY kiểm chứng | DECISION quyết định (thường do người dùng) | NOTE ghi chú</t>
  </si>
  <si>
    <t xml:space="preserve">Người_thực_hiện</t>
  </si>
  <si>
    <t xml:space="preserve">Ai thực hiện hành động: 'Claude' hoặc tên người dùng/người khác.</t>
  </si>
  <si>
    <t xml:space="preserve">Yêu_cầu_bởi</t>
  </si>
  <si>
    <t xml:space="preserve">Ai yêu cầu/quyết định hành động (vd tên người dùng).</t>
  </si>
  <si>
    <t xml:space="preserve">Mức_độ</t>
  </si>
  <si>
    <t xml:space="preserve">Info &lt; Low &lt; Medium &lt; High &lt; Critical.</t>
  </si>
  <si>
    <t xml:space="preserve">Trạng_thái</t>
  </si>
  <si>
    <t xml:space="preserve">Done | Open | Needs-confirmation | Reverted | Wontfix.</t>
  </si>
  <si>
    <t xml:space="preserve">Trước/Sau</t>
  </si>
  <si>
    <t xml:space="preserve">Giá trị, dòng code hoặc hash trước và sau khi thay đổi.</t>
  </si>
  <si>
    <t xml:space="preserve">Múi_giờ</t>
  </si>
  <si>
    <t xml:space="preserve">Mặc định Asia/Ho_Chi_Minh (đổi bằng biến môi trường LOG_TZ).</t>
  </si>
  <si>
    <t xml:space="preserve">Experiments</t>
  </si>
  <si>
    <t xml:space="preserve">Mỗi thí nghiệm DL một dòng: Exp_ID, config + hash, seed, metric train/val, checkpoint. Test_metric chỉ điền cho mô hình cuối (test set dùng đúng một lần).</t>
  </si>
  <si>
    <t xml:space="preserve">Summary</t>
  </si>
  <si>
    <t xml:space="preserve">Thống kê bằng công thức; chạy recalc.py sau khi ghi xong để có giá trị cache.</t>
  </si>
  <si>
    <t xml:space="preserve">Log_ID</t>
  </si>
  <si>
    <t xml:space="preserve">Ngày (dd/mm/yyyy)</t>
  </si>
  <si>
    <t xml:space="preserve">Giờ (hh:mm:ss)</t>
  </si>
  <si>
    <t xml:space="preserve">Session_ID</t>
  </si>
  <si>
    <t xml:space="preserve">Loại_actor</t>
  </si>
  <si>
    <t xml:space="preserve">Bước_pipeline</t>
  </si>
  <si>
    <t xml:space="preserve">Tên_file</t>
  </si>
  <si>
    <t xml:space="preserve">Đường_dẫn</t>
  </si>
  <si>
    <t xml:space="preserve">Vị_trí (dòng/cell/hàm)</t>
  </si>
  <si>
    <t xml:space="preserve">Nội_dung</t>
  </si>
  <si>
    <t xml:space="preserve">Lý_do</t>
  </si>
  <si>
    <t xml:space="preserve">Trước</t>
  </si>
  <si>
    <t xml:space="preserve">Sau</t>
  </si>
  <si>
    <t xml:space="preserve">Cách_kiểm_chứng</t>
  </si>
  <si>
    <t xml:space="preserve">Liên_quan_Log_ID</t>
  </si>
  <si>
    <t xml:space="preserve">Đường_dẫn_backup</t>
  </si>
  <si>
    <t xml:space="preserve">Lệnh_Công_cụ</t>
  </si>
  <si>
    <t xml:space="preserve">Ghi_chú</t>
  </si>
  <si>
    <t xml:space="preserve">LOG-0001</t>
  </si>
  <si>
    <t xml:space="preserve">Asia/Ho_Chi_Minh</t>
  </si>
  <si>
    <t xml:space="preserve">S-20260922</t>
  </si>
  <si>
    <t xml:space="preserve">Claude</t>
  </si>
  <si>
    <t xml:space="preserve">AI</t>
  </si>
  <si>
    <t xml:space="preserve">Kazana</t>
  </si>
  <si>
    <t xml:space="preserve">CREATE</t>
  </si>
  <si>
    <t xml:space="preserve">P0 Khởi tạo</t>
  </si>
  <si>
    <t xml:space="preserve">house_price_ml</t>
  </si>
  <si>
    <t xml:space="preserve">.</t>
  </si>
  <si>
    <t xml:space="preserve">Tạo khung dự án 'house_price_ml' (11 thư mục) + 04_configs/base.yaml, README.md, .gitignore, requirements.txt</t>
  </si>
  <si>
    <t xml:space="preserve">Khung thư mục chuẩn của skill dl-project-from-raw-data</t>
  </si>
  <si>
    <t xml:space="preserve">Info</t>
  </si>
  <si>
    <t xml:space="preserve">Done</t>
  </si>
  <si>
    <t xml:space="preserve">scripts/scaffold_project.py</t>
  </si>
  <si>
    <t xml:space="preserve">LOG-0002</t>
  </si>
  <si>
    <t xml:space="preserve">P1 Nhập dữ liệu</t>
  </si>
  <si>
    <t xml:space="preserve">train.csv</t>
  </si>
  <si>
    <t xml:space="preserve">00_raw</t>
  </si>
  <si>
    <t xml:space="preserve">Nhập dataset thô vào 00_raw (sao chép 1 file); đặt 1 file ở chế độ chỉ-đọc</t>
  </si>
  <si>
    <t xml:space="preserve">Dữ liệu gốc bất biến; mọi xử lý ghi sang 01_data/</t>
  </si>
  <si>
    <t xml:space="preserve">LOG-0003</t>
  </si>
  <si>
    <t xml:space="preserve">DECISION</t>
  </si>
  <si>
    <t xml:space="preserve">Mục tiêu: dự đoán SalePrice (hồi quy) từ dữ liệu bảng Ames Housing. Mục đích: đồ án học tập. Mô hình: pipeline ML (scikit-learn/XGBoost), KHÔNG dùng Deep Learning theo yêu cầu người dùng.</t>
  </si>
  <si>
    <t xml:space="preserve">Người dùng xác nhận qua câu hỏi P0</t>
  </si>
  <si>
    <t xml:space="preserve">LOG-0004</t>
  </si>
  <si>
    <t xml:space="preserve">Metric chính: RMSLE (RMSE trên log1p(SalePrice)), chuẩn Kaggle House Prices. Metric phụ: MAE ($), R².</t>
  </si>
  <si>
    <t xml:space="preserve">Người dùng chọn RMSLE/log-RMSE</t>
  </si>
  <si>
    <t xml:space="preserve">LOG-0005</t>
  </si>
  <si>
    <t xml:space="preserve">Ràng buộc môi trường: CPU i5-12400F, GPU RTX5060 có sẵn. Vì đây là mô hình ML trên dữ liệu bảng (không DL) nên không cần GPU; dự báo chạy dưới 5 phút trên CPU.</t>
  </si>
  <si>
    <t xml:space="preserve">Người dùng cung cấp thông số máy</t>
  </si>
  <si>
    <t xml:space="preserve">LOG-0006</t>
  </si>
  <si>
    <t xml:space="preserve">P0 Môi trường</t>
  </si>
  <si>
    <t xml:space="preserve">requirements.txt</t>
  </si>
  <si>
    <t xml:space="preserve">Pin dependencies cho pipeline ML (không DL): pandas, numpy, scikit-learn, xgboost, matplotlib, joblib, PyYAML, openpyxl</t>
  </si>
  <si>
    <t xml:space="preserve">pip install -r requirements.txt trong venv mới -&gt; thành công; import sklearn(1.8.0), xgboost(3.4.1) OK</t>
  </si>
  <si>
    <t xml:space="preserve">LOG-0007</t>
  </si>
  <si>
    <t xml:space="preserve">setup_env.sh</t>
  </si>
  <si>
    <t xml:space="preserve">Script tạo venv + cài dependencies (Linux/macOS)</t>
  </si>
  <si>
    <t xml:space="preserve">Chạy thử trong sandbox: venv tạo thành công, cài package OK, import test pass</t>
  </si>
  <si>
    <t xml:space="preserve">LOG-0008</t>
  </si>
  <si>
    <t xml:space="preserve">setup_env.bat</t>
  </si>
  <si>
    <t xml:space="preserve">Script tạo venv + cài dependencies (Windows) - chưa chạy thử vì sandbox là Linux</t>
  </si>
  <si>
    <t xml:space="preserve">LOG-0009</t>
  </si>
  <si>
    <t xml:space="preserve">Huỳnh Kiện Khải</t>
  </si>
  <si>
    <t xml:space="preserve">P0 Cập nhật thông tin</t>
  </si>
  <si>
    <t xml:space="preserve">Người dùng cung cấp tên thật: Huỳnh Kiện Khải (tên tài khoản trước đó ghi là Kazana). Từ đây về sau dùng tên thật trong các dòng log mới.</t>
  </si>
  <si>
    <t xml:space="preserve">Người dùng yêu cầu trước khi vào P1</t>
  </si>
  <si>
    <t xml:space="preserve">LOG-0010</t>
  </si>
  <si>
    <t xml:space="preserve">FIX</t>
  </si>
  <si>
    <t xml:space="preserve">README.md: bổ sung tên người thực hiện dự án là Huỳnh Kiện Khải</t>
  </si>
  <si>
    <t xml:space="preserve">LOG-0011</t>
  </si>
  <si>
    <t xml:space="preserve">S-20260923</t>
  </si>
  <si>
    <t xml:space="preserve">RUN</t>
  </si>
  <si>
    <t xml:space="preserve">P1 Kiểm toán dữ liệu</t>
  </si>
  <si>
    <t xml:space="preserve">Chạy audit_dataset.py trên 00_raw/train.csv (--label-col SalePrice)</t>
  </si>
  <si>
    <t xml:space="preserve">1 file, 0 lỗi hỏng, 0 dòng trùng, 0 nhóm trùng nội dung. 19 cột có missing (PoolQC 1453/1460, MiscFeature 1406, Alley 1369, Fence 1179, FireplaceQu 690...). SalePrice là hồi quy liên tục nên phân bố nhãn trong report chỉ mang tính tham khảo.</t>
  </si>
  <si>
    <t xml:space="preserve">LOG-0012</t>
  </si>
  <si>
    <t xml:space="preserve">audit_dataset.py</t>
  </si>
  <si>
    <t xml:space="preserve">03_src/scripts/audit_dataset.py</t>
  </si>
  <si>
    <t xml:space="preserve">Copy script audit_dataset.py (từ skill) vào dự án để người dùng tự chạy lại được, không phụ thuộc môi trường sandbox</t>
  </si>
  <si>
    <t xml:space="preserve">LOG-0013</t>
  </si>
  <si>
    <t xml:space="preserve">P1 Chỉnh định dạng log</t>
  </si>
  <si>
    <t xml:space="preserve">Áp dụng font Times New Roman cho toàn bộ file change_log.xlsx (mọi sheet: README, Change_Log, Findings, File_Registry, Experiments, Summary). Không thay đổi nội dung các dòng cũ.</t>
  </si>
  <si>
    <t xml:space="preserve">Người dùng yêu cầu dùng font Times New Roman và ghi tiếng Việt đầy đủ có dấu</t>
  </si>
  <si>
    <t xml:space="preserve">Các dòng log trước đó (LOG-0001 đến LOG-0012, FND-0001) được ghi không dấu theo quy ước ví dụ của skill; log là append-only nên không sửa nội dung các dòng cũ đó. Từ dòng này trở đi, mọi mô tả mới sẽ dùng tiếng Việt có dấu đầy đủ.</t>
  </si>
  <si>
    <t xml:space="preserve">LOG-0014</t>
  </si>
  <si>
    <t xml:space="preserve">Ngoại lệ: đã chỉnh sửa trực tiếp nội dung các dòng LOG-0003..LOG-0012 và FND-0001 để thêm dấu tiếng Việt đầy đủ (không đổi ý nghĩa/số liệu, chỉ thêm dấu).</t>
  </si>
  <si>
    <t xml:space="preserve">Người dùng yêu cầu tường minh: 'chỉ riêng lần này' được sửa lại log vì tiếng Việt không dấu gây khó hiểu, dù quy tắc mặc định của skill là append-only (không sửa dòng cũ).</t>
  </si>
  <si>
    <t xml:space="preserve">LOG-0003,LOG-0004,LOG-0005,LOG-0006,LOG-0007,LOG-0008,LOG-0009,LOG-0010,LOG-0011,LOG-0012,FND-0001</t>
  </si>
  <si>
    <t xml:space="preserve">LOG-0015</t>
  </si>
  <si>
    <t xml:space="preserve">Sửa skill dl-project-from-raw-data: SKILL.md và references/log_schema.md bổ sung quy ước bắt buộc ghi log bằng tiếng Việt có dấu đầy đủ; scripts/log_change.py sửa các dòng README_ROWS (Loại_hành_động, Người_thực_hiện, Yêu_cầu_bởi, Múi_giờ) từ không dấu sang có dấu. Đồng thời cập nhật sheet README của change_log.xlsx trong dự án này cho khớp.</t>
  </si>
  <si>
    <t xml:space="preserve">Người dùng yêu cầu sửa skill để log luôn ghi tiếng Việt có dấu, áp dụng cho các dự án sau này</t>
  </si>
  <si>
    <t xml:space="preserve">LOG-0016</t>
  </si>
  <si>
    <t xml:space="preserve">S-20260924</t>
  </si>
  <si>
    <t xml:space="preserve">P2 Chia train/val/test</t>
  </si>
  <si>
    <t xml:space="preserve">Chạy make_splits.py trên 00_raw/train.csv (--id-col Id --label-col SalePrice --val 0.15 --test 0.15 --seed 42 --version v1)</t>
  </si>
  <si>
    <t xml:space="preserve">SalePrice là biến liên tục với gần như mọi giá trị là duy nhất nên stratify theo đúng giá trị thất bại (script tự động cảnh báo và chuyển sang chia ngẫu nhiên). Kết quả: train=1022, val=219, test=219 (~70/15/15). Kiểm chứng tự động: PASSED (không Id nào nằm ở &gt;1 split, không nhóm/sha256 xuyên split).</t>
  </si>
  <si>
    <t xml:space="preserve">LOG-0017</t>
  </si>
  <si>
    <t xml:space="preserve">make_splits.py</t>
  </si>
  <si>
    <t xml:space="preserve">03_src/scripts/make_splits.py</t>
  </si>
  <si>
    <t xml:space="preserve">Copy script make_splits.py (từ skill) vào dự án để chạy lại được độc lập</t>
  </si>
  <si>
    <t xml:space="preserve">LOG-0018</t>
  </si>
  <si>
    <t xml:space="preserve">P2 Định nghĩa bài toán</t>
  </si>
  <si>
    <t xml:space="preserve">problem_definition.md</t>
  </si>
  <si>
    <t xml:space="preserve">06_reports/problem_definition.md</t>
  </si>
  <si>
    <t xml:space="preserve">Viết problem_definition.md theo template report_templates.md: chốt loại bài toán (hồi quy), input/output, metric chính (RMSLE) + phụ (MAE, R²), tiêu chí thành công, ràng buộc phần cứng, rủi ro và giả định. Tổng hợp lại từ các DECISION đã ghi ở P0 (LOG-0003, LOG-0004, LOG-0005) và các FINDING ở P1 (FND-0001) và P3 (FND-0002).</t>
  </si>
  <si>
    <t xml:space="preserve">Theo đúng thứ tự P0-P9 của skill: P2 phải chốt bằng văn bản trước khi có bất kỳ số liệu mô hình nào</t>
  </si>
  <si>
    <t xml:space="preserve">LOG-0019</t>
  </si>
  <si>
    <t xml:space="preserve">NOTE</t>
  </si>
  <si>
    <t xml:space="preserve">Đính chính đánh số bước: dòng LOG-0016/LOG-0017 (chạy make_splits.py, copy script) được ghi với step-label 'P2 Chia train/val/test' do đánh số nhầm; đúng theo quy trình skill thì bước chia dữ liệu là P3, không phải P2. Không sửa lại các dòng cũ đó (append-only), chỉ đính chính tại đây.</t>
  </si>
  <si>
    <t xml:space="preserve">Finding_ID</t>
  </si>
  <si>
    <t xml:space="preserve">Ngày</t>
  </si>
  <si>
    <t xml:space="preserve">Nhóm</t>
  </si>
  <si>
    <t xml:space="preserve">Vị_trí</t>
  </si>
  <si>
    <t xml:space="preserve">Mô_tả</t>
  </si>
  <si>
    <t xml:space="preserve">Bằng_chứng</t>
  </si>
  <si>
    <t xml:space="preserve">Cách_sửa_đề_xuất</t>
  </si>
  <si>
    <t xml:space="preserve">Log_ID_liên_quan</t>
  </si>
  <si>
    <t xml:space="preserve">FND-0001</t>
  </si>
  <si>
    <t xml:space="preserve">Medium</t>
  </si>
  <si>
    <t xml:space="preserve">Missing data</t>
  </si>
  <si>
    <t xml:space="preserve">00_raw/train.csv</t>
  </si>
  <si>
    <t xml:space="preserve">19 cột có giá trị thiếu. Đã đối chiếu với data_description của dataset Ames Housing: hầu hết là 'missing có ý nghĩa' (nhà không có đặc điểm đó), VD PoolQC/Fence/Alley/MiscFeature/FireplaceQu/Garage*/Bsmt* thiếu vì nhà không có hồ bơi/hàng rào/garage/tầng hầm.</t>
  </si>
  <si>
    <t xml:space="preserve">01_data/audit/data_report.md; PoolQC thiếu 1453/1460 (99.5%), MiscFeature 1406 (96.3%), Alley 1369 (93.8%)</t>
  </si>
  <si>
    <t xml:space="preserve">P3 sẽ impute các cột này bằng giá trị hằng số 'None' (categorical) hoặc 0 (numeric liên quan tới đặc điểm không tồn tại, VD MasVnrArea), KHÔNG dùng median/mode mặc định cho nhóm này.</t>
  </si>
  <si>
    <t xml:space="preserve">Open</t>
  </si>
  <si>
    <t xml:space="preserve">FND-0002</t>
  </si>
  <si>
    <t xml:space="preserve">Low</t>
  </si>
  <si>
    <t xml:space="preserve">Chia dữ liệu</t>
  </si>
  <si>
    <t xml:space="preserve">01_data/splits/split_v1_summary.json</t>
  </si>
  <si>
    <t xml:space="preserve">Trường 'strategy' trong summary.json ghi 'stratified' dù thực tế script đã cảnh báo và chuyển sang chia ngẫu nhiên (fallback) vì SalePrice là hồi quy liên tục, không phải nhãn phân loại. Đây là hạn chế hiển thị của script make_splits.py (thiết kế chính cho bài toán phân loại), không phải lỗi của kết quả chia.</t>
  </si>
  <si>
    <t xml:space="preserve">Log console: 'CANH BAO: stratify that bai ... dung chia ngau nhien'</t>
  </si>
  <si>
    <t xml:space="preserve">Không cần sửa vì với hồi quy, chia ngẫu nhiên (có seed cố định) là hợp lý; chỉ cần ghi chú lại để không hiểu nhầm là đã stratify theo khoảng giá.</t>
  </si>
  <si>
    <t xml:space="preserve">Wontfix</t>
  </si>
  <si>
    <t xml:space="preserve">Loại</t>
  </si>
  <si>
    <t xml:space="preserve">Kích_thước_byte</t>
  </si>
  <si>
    <t xml:space="preserve">SHA256</t>
  </si>
  <si>
    <t xml:space="preserve">Vai_trò</t>
  </si>
  <si>
    <t xml:space="preserve">Ngày_đăng_ký</t>
  </si>
  <si>
    <t xml:space="preserve">Log_ID_đăng_ký</t>
  </si>
  <si>
    <t xml:space="preserve">csv</t>
  </si>
  <si>
    <t xml:space="preserve">1e18addf81e5e4d347cc17ee6075bbe4a42b7fa26b9e5b063e8f692a5f929d41</t>
  </si>
  <si>
    <t xml:space="preserve">raw dataset (Ames Housing, Kaggle House Prices)</t>
  </si>
  <si>
    <t xml:space="preserve">txt</t>
  </si>
  <si>
    <t xml:space="preserve">1529842f18f3fc9ddc13f8a29f9fea308b93c99ae341d224cb35f419f9b5ba4c</t>
  </si>
  <si>
    <t xml:space="preserve">pinned deps for ML pipeline</t>
  </si>
  <si>
    <t xml:space="preserve">sh</t>
  </si>
  <si>
    <t xml:space="preserve">0ec14ff51fe75452e37d68a2f7f5d6b9b310104f03c4c73bddc63947f123317d</t>
  </si>
  <si>
    <t xml:space="preserve">venv setup script (Linux/macOS)</t>
  </si>
  <si>
    <t xml:space="preserve">bat</t>
  </si>
  <si>
    <t xml:space="preserve">6a3e68f17fb0c3ee20f0bf5c49390905563b41f881ed652f9db93ac322d5fbf2</t>
  </si>
  <si>
    <t xml:space="preserve">venv setup script (Windows)</t>
  </si>
  <si>
    <t xml:space="preserve">01_data/audit/manifest.csv</t>
  </si>
  <si>
    <t xml:space="preserve">0661f403d0fa6217d8fa3cb3e36863a973ee618dd8ba55c72c1f639c7b859efa</t>
  </si>
  <si>
    <t xml:space="preserve">audit manifest</t>
  </si>
  <si>
    <t xml:space="preserve">01_data/audit/audit.json</t>
  </si>
  <si>
    <t xml:space="preserve">json</t>
  </si>
  <si>
    <t xml:space="preserve">7875412bf87b767417431ff68b3b1c458b7dd8265b0967eeb4e0dc0b2eeb8f1f</t>
  </si>
  <si>
    <t xml:space="preserve">audit metrics (machine-readable) + dataset fingerprint</t>
  </si>
  <si>
    <t xml:space="preserve">01_data/audit/data_report.md</t>
  </si>
  <si>
    <t xml:space="preserve">md</t>
  </si>
  <si>
    <t xml:space="preserve">300a7b77f9a00aaeabe1c47b6a77c50f58c9f41bd879a1c9171af8b99d5d174e</t>
  </si>
  <si>
    <t xml:space="preserve">audit report (Vietnamese)</t>
  </si>
  <si>
    <t xml:space="preserve">py</t>
  </si>
  <si>
    <t xml:space="preserve">651e87e1e34d9b889dcf31bbb469577af64f919349a92be19a763f8db2889268</t>
  </si>
  <si>
    <t xml:space="preserve">script kiem toan du lieu (P1)</t>
  </si>
  <si>
    <t xml:space="preserve">01_data/splits/split_v1.csv</t>
  </si>
  <si>
    <t xml:space="preserve">a7efd8bd0070df62801eafc5d8e213858f8ca7d8851dafd4d7115d480b886448</t>
  </si>
  <si>
    <t xml:space="preserve">bảng đã gán cột split (train/val/test)</t>
  </si>
  <si>
    <t xml:space="preserve">4e71c3bc4a19ceee2c9bc213bc10aaa7b5c652b8fa88962dd5a37090f0f128d4</t>
  </si>
  <si>
    <t xml:space="preserve">thống kê + fingerprint của lần chia split v1</t>
  </si>
  <si>
    <t xml:space="preserve">eed3ee2f3aa1f8def8944cade841ad0f0a65603832f2ce3a3bcf3410f60da9b7</t>
  </si>
  <si>
    <t xml:space="preserve">script chia train/val/test (P2)</t>
  </si>
  <si>
    <t xml:space="preserve">61a88c960eeb23174f2879c0d3d7bfbc1c25cb58cd6371753c4fde22af5327aa</t>
  </si>
  <si>
    <t xml:space="preserve">định nghĩa bài toán, metric, ràng buộc (P2)</t>
  </si>
  <si>
    <t xml:space="preserve">Exp_ID</t>
  </si>
  <si>
    <t xml:space="preserve">Giờ</t>
  </si>
  <si>
    <t xml:space="preserve">Mục_tiêu/Giả_thuyết</t>
  </si>
  <si>
    <t xml:space="preserve">Exp_cha</t>
  </si>
  <si>
    <t xml:space="preserve">Thay_đổi_so_với_exp_cha</t>
  </si>
  <si>
    <t xml:space="preserve">Model</t>
  </si>
  <si>
    <t xml:space="preserve">Số_tham_số</t>
  </si>
  <si>
    <t xml:space="preserve">Phiên_bản_dữ_liệu/Split</t>
  </si>
  <si>
    <t xml:space="preserve">Đường_dẫn_config</t>
  </si>
  <si>
    <t xml:space="preserve">Hash_config</t>
  </si>
  <si>
    <t xml:space="preserve">Seed</t>
  </si>
  <si>
    <t xml:space="preserve">Epochs</t>
  </si>
  <si>
    <t xml:space="preserve">Batch</t>
  </si>
  <si>
    <t xml:space="preserve">Optimizer</t>
  </si>
  <si>
    <t xml:space="preserve">LR</t>
  </si>
  <si>
    <t xml:space="preserve">Augmentation</t>
  </si>
  <si>
    <t xml:space="preserve">Tên_metric</t>
  </si>
  <si>
    <t xml:space="preserve">Train_metric</t>
  </si>
  <si>
    <t xml:space="preserve">Val_metric</t>
  </si>
  <si>
    <t xml:space="preserve">Test_metric (chỉ mô hình cuối)</t>
  </si>
  <si>
    <t xml:space="preserve">Thời_gian_train</t>
  </si>
  <si>
    <t xml:space="preserve">Phần_cứng</t>
  </si>
  <si>
    <t xml:space="preserve">Checkpoint</t>
  </si>
  <si>
    <t xml:space="preserve">Kết_luận</t>
  </si>
  <si>
    <t xml:space="preserve">Thống kê nhật ký (công thức - chạy recalc.py để cập nhật giá trị cache)</t>
  </si>
  <si>
    <t xml:space="preserve">Tổng số dòng log</t>
  </si>
  <si>
    <t xml:space="preserve">Tổng số thí nghiệm</t>
  </si>
  <si>
    <t xml:space="preserve">Tổng số finding</t>
  </si>
  <si>
    <t xml:space="preserve">Thí nghiệm Done</t>
  </si>
  <si>
    <t xml:space="preserve">Finding còn Open</t>
  </si>
  <si>
    <t xml:space="preserve">Thí nghiệm Failed</t>
  </si>
  <si>
    <t xml:space="preserve">Theo loại hành động</t>
  </si>
  <si>
    <t xml:space="preserve">EXPLORE</t>
  </si>
  <si>
    <t xml:space="preserve">DISCOVER</t>
  </si>
  <si>
    <t xml:space="preserve">MODIFY</t>
  </si>
  <si>
    <t xml:space="preserve">DELETE</t>
  </si>
  <si>
    <t xml:space="preserve">VERIFY</t>
  </si>
  <si>
    <t xml:space="preserve">Theo trạng thái</t>
  </si>
  <si>
    <t xml:space="preserve">Needs-confirmation</t>
  </si>
  <si>
    <t xml:space="preserve">Reverted</t>
  </si>
  <si>
    <t xml:space="preserve">Theo mức độ</t>
  </si>
  <si>
    <t xml:space="preserve">High</t>
  </si>
  <si>
    <t xml:space="preserve">Critical</t>
  </si>
</sst>
</file>

<file path=xl/styles.xml><?xml version="1.0" encoding="utf-8"?>
<styleSheet xmlns="http://schemas.openxmlformats.org/spreadsheetml/2006/main">
  <numFmts count="3">
    <numFmt numFmtId="164" formatCode="General"/>
    <numFmt numFmtId="165" formatCode="dd/mm/yyyy"/>
    <numFmt numFmtId="166" formatCode="hh:mm:ss"/>
  </numFmts>
  <fonts count="10">
    <font>
      <sz val="11"/>
      <color theme="1"/>
      <name val="Calibri"/>
      <family val="2"/>
      <charset val="1"/>
    </font>
    <font>
      <sz val="10"/>
      <name val="Arial"/>
      <family val="0"/>
    </font>
    <font>
      <sz val="10"/>
      <name val="Arial"/>
      <family val="0"/>
    </font>
    <font>
      <sz val="10"/>
      <name val="Arial"/>
      <family val="0"/>
    </font>
    <font>
      <b val="true"/>
      <sz val="12"/>
      <name val="Times New Roman"/>
      <family val="0"/>
      <charset val="1"/>
    </font>
    <font>
      <sz val="10"/>
      <name val="Times New Roman"/>
      <family val="0"/>
      <charset val="1"/>
    </font>
    <font>
      <b val="true"/>
      <sz val="10"/>
      <name val="Times New Roman"/>
      <family val="0"/>
      <charset val="1"/>
    </font>
    <font>
      <b val="true"/>
      <sz val="10"/>
      <color rgb="FFFFFFFF"/>
      <name val="Times New Roman"/>
      <family val="0"/>
      <charset val="1"/>
    </font>
    <font>
      <sz val="10"/>
      <name val="Arial"/>
      <family val="0"/>
      <charset val="1"/>
    </font>
    <font>
      <b val="true"/>
      <sz val="11"/>
      <name val="Times New Roman"/>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3864"/>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5" hidden="false" customHeight="true" outlineLevel="0" collapsed="false">
      <c r="A1" s="2" t="s">
        <v>0</v>
      </c>
      <c r="B1" s="3"/>
    </row>
    <row r="2" customFormat="false" ht="15" hidden="false" customHeight="true" outlineLevel="0" collapsed="false">
      <c r="A2" s="4" t="s">
        <v>1</v>
      </c>
      <c r="B2" s="3" t="s">
        <v>2</v>
      </c>
    </row>
    <row r="3" customFormat="false" ht="23.25" hidden="false" customHeight="true" outlineLevel="0" collapsed="false">
      <c r="A3" s="4" t="s">
        <v>3</v>
      </c>
      <c r="B3" s="3" t="s">
        <v>4</v>
      </c>
    </row>
    <row r="4" customFormat="false" ht="15" hidden="false" customHeight="true" outlineLevel="0" collapsed="false">
      <c r="A4" s="4" t="s">
        <v>5</v>
      </c>
      <c r="B4" s="3" t="s">
        <v>6</v>
      </c>
    </row>
    <row r="5" customFormat="false" ht="15" hidden="false" customHeight="true" outlineLevel="0" collapsed="false">
      <c r="A5" s="4" t="s">
        <v>7</v>
      </c>
      <c r="B5" s="3" t="s">
        <v>8</v>
      </c>
    </row>
    <row r="6" customFormat="false" ht="15" hidden="false" customHeight="true" outlineLevel="0" collapsed="false">
      <c r="A6" s="4" t="s">
        <v>9</v>
      </c>
      <c r="B6" s="3" t="s">
        <v>10</v>
      </c>
    </row>
    <row r="7" customFormat="false" ht="15" hidden="false" customHeight="true" outlineLevel="0" collapsed="false">
      <c r="A7" s="4" t="s">
        <v>11</v>
      </c>
      <c r="B7" s="3" t="s">
        <v>12</v>
      </c>
    </row>
    <row r="8" customFormat="false" ht="15" hidden="false" customHeight="true" outlineLevel="0" collapsed="false">
      <c r="A8" s="4" t="s">
        <v>13</v>
      </c>
      <c r="B8" s="3" t="s">
        <v>14</v>
      </c>
    </row>
    <row r="9" customFormat="false" ht="15" hidden="false" customHeight="true" outlineLevel="0" collapsed="false">
      <c r="A9" s="4" t="s">
        <v>15</v>
      </c>
      <c r="B9" s="3" t="s">
        <v>16</v>
      </c>
    </row>
    <row r="10" customFormat="false" ht="23.25" hidden="false" customHeight="true" outlineLevel="0" collapsed="false">
      <c r="A10" s="4" t="s">
        <v>17</v>
      </c>
      <c r="B10" s="3" t="s">
        <v>18</v>
      </c>
    </row>
    <row r="11" customFormat="false" ht="15" hidden="false" customHeight="true" outlineLevel="0" collapsed="false">
      <c r="A11" s="4" t="s">
        <v>19</v>
      </c>
      <c r="B11" s="3"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11"/>
    <col collapsed="false" customWidth="true" hidden="false" outlineLevel="0" max="5" min="4" style="1" width="14"/>
    <col collapsed="false" customWidth="true" hidden="false" outlineLevel="0" max="6" min="6" style="1" width="16"/>
    <col collapsed="false" customWidth="true" hidden="false" outlineLevel="0" max="7" min="7" style="1" width="10"/>
    <col collapsed="false" customWidth="true" hidden="false" outlineLevel="0" max="8" min="8" style="1" width="16"/>
    <col collapsed="false" customWidth="true" hidden="false" outlineLevel="0" max="9" min="9" style="1" width="14"/>
    <col collapsed="false" customWidth="true" hidden="false" outlineLevel="0" max="10" min="10" style="1" width="20"/>
    <col collapsed="false" customWidth="true" hidden="false" outlineLevel="0" max="11" min="11" style="1" width="26"/>
    <col collapsed="false" customWidth="true" hidden="false" outlineLevel="0" max="12" min="12" style="1" width="44"/>
    <col collapsed="false" customWidth="true" hidden="false" outlineLevel="0" max="13" min="13" style="1" width="22"/>
    <col collapsed="false" customWidth="true" hidden="false" outlineLevel="0" max="14" min="14" style="1" width="60"/>
    <col collapsed="false" customWidth="true" hidden="false" outlineLevel="0" max="17" min="15" style="1" width="40"/>
    <col collapsed="false" customWidth="true" hidden="false" outlineLevel="0" max="18" min="18" style="1" width="11"/>
    <col collapsed="false" customWidth="true" hidden="false" outlineLevel="0" max="19" min="19" style="1" width="18"/>
    <col collapsed="false" customWidth="true" hidden="false" outlineLevel="0" max="20" min="20" style="1" width="40"/>
    <col collapsed="false" customWidth="true" hidden="false" outlineLevel="0" max="21" min="21" style="1" width="16"/>
    <col collapsed="false" customWidth="true" hidden="false" outlineLevel="0" max="22" min="22" style="1" width="40"/>
    <col collapsed="false" customWidth="true" hidden="false" outlineLevel="0" max="24" min="23" style="1" width="34"/>
  </cols>
  <sheetData>
    <row r="1" customFormat="false" ht="31.5" hidden="false" customHeight="true" outlineLevel="0" collapsed="false">
      <c r="A1" s="5" t="s">
        <v>21</v>
      </c>
      <c r="B1" s="5" t="s">
        <v>22</v>
      </c>
      <c r="C1" s="5" t="s">
        <v>23</v>
      </c>
      <c r="D1" s="5" t="s">
        <v>15</v>
      </c>
      <c r="E1" s="5" t="s">
        <v>24</v>
      </c>
      <c r="F1" s="5" t="s">
        <v>5</v>
      </c>
      <c r="G1" s="5" t="s">
        <v>25</v>
      </c>
      <c r="H1" s="5" t="s">
        <v>7</v>
      </c>
      <c r="I1" s="5" t="s">
        <v>3</v>
      </c>
      <c r="J1" s="5" t="s">
        <v>26</v>
      </c>
      <c r="K1" s="5" t="s">
        <v>27</v>
      </c>
      <c r="L1" s="5" t="s">
        <v>28</v>
      </c>
      <c r="M1" s="5" t="s">
        <v>29</v>
      </c>
      <c r="N1" s="5" t="s">
        <v>30</v>
      </c>
      <c r="O1" s="5" t="s">
        <v>31</v>
      </c>
      <c r="P1" s="5" t="s">
        <v>32</v>
      </c>
      <c r="Q1" s="5" t="s">
        <v>33</v>
      </c>
      <c r="R1" s="5" t="s">
        <v>9</v>
      </c>
      <c r="S1" s="5" t="s">
        <v>11</v>
      </c>
      <c r="T1" s="5" t="s">
        <v>34</v>
      </c>
      <c r="U1" s="5" t="s">
        <v>35</v>
      </c>
      <c r="V1" s="5" t="s">
        <v>36</v>
      </c>
      <c r="W1" s="5" t="s">
        <v>37</v>
      </c>
      <c r="X1" s="5" t="s">
        <v>38</v>
      </c>
    </row>
    <row r="2" customFormat="false" ht="23.25" hidden="false" customHeight="true" outlineLevel="0" collapsed="false">
      <c r="A2" s="6" t="s">
        <v>39</v>
      </c>
      <c r="B2" s="7" t="n">
        <v>46287</v>
      </c>
      <c r="C2" s="8" t="n">
        <v>0.491342592592593</v>
      </c>
      <c r="D2" s="6" t="s">
        <v>40</v>
      </c>
      <c r="E2" s="6" t="s">
        <v>41</v>
      </c>
      <c r="F2" s="6" t="s">
        <v>42</v>
      </c>
      <c r="G2" s="6" t="s">
        <v>43</v>
      </c>
      <c r="H2" s="6" t="s">
        <v>44</v>
      </c>
      <c r="I2" s="6" t="s">
        <v>45</v>
      </c>
      <c r="J2" s="6" t="s">
        <v>46</v>
      </c>
      <c r="K2" s="6" t="s">
        <v>47</v>
      </c>
      <c r="L2" s="6" t="s">
        <v>48</v>
      </c>
      <c r="M2" s="6"/>
      <c r="N2" s="6" t="s">
        <v>49</v>
      </c>
      <c r="O2" s="6" t="s">
        <v>50</v>
      </c>
      <c r="P2" s="6"/>
      <c r="Q2" s="6"/>
      <c r="R2" s="6" t="s">
        <v>51</v>
      </c>
      <c r="S2" s="6" t="s">
        <v>52</v>
      </c>
      <c r="T2" s="6"/>
      <c r="U2" s="6"/>
      <c r="V2" s="6"/>
      <c r="W2" s="6" t="s">
        <v>53</v>
      </c>
      <c r="X2" s="6"/>
    </row>
    <row r="3" customFormat="false" ht="23.25" hidden="false" customHeight="true" outlineLevel="0" collapsed="false">
      <c r="A3" s="6" t="s">
        <v>54</v>
      </c>
      <c r="B3" s="7" t="n">
        <v>46287</v>
      </c>
      <c r="C3" s="8" t="n">
        <v>0.491342592592593</v>
      </c>
      <c r="D3" s="6" t="s">
        <v>40</v>
      </c>
      <c r="E3" s="6" t="s">
        <v>41</v>
      </c>
      <c r="F3" s="6" t="s">
        <v>42</v>
      </c>
      <c r="G3" s="6" t="s">
        <v>43</v>
      </c>
      <c r="H3" s="6" t="s">
        <v>44</v>
      </c>
      <c r="I3" s="6" t="s">
        <v>45</v>
      </c>
      <c r="J3" s="6" t="s">
        <v>55</v>
      </c>
      <c r="K3" s="6" t="s">
        <v>56</v>
      </c>
      <c r="L3" s="6" t="s">
        <v>57</v>
      </c>
      <c r="M3" s="6"/>
      <c r="N3" s="6" t="s">
        <v>58</v>
      </c>
      <c r="O3" s="6" t="s">
        <v>59</v>
      </c>
      <c r="P3" s="6"/>
      <c r="Q3" s="6"/>
      <c r="R3" s="6" t="s">
        <v>51</v>
      </c>
      <c r="S3" s="6" t="s">
        <v>52</v>
      </c>
      <c r="T3" s="6"/>
      <c r="U3" s="6"/>
      <c r="V3" s="6"/>
      <c r="W3" s="6" t="s">
        <v>53</v>
      </c>
      <c r="X3" s="6"/>
    </row>
    <row r="4" customFormat="false" ht="34.5" hidden="false" customHeight="true" outlineLevel="0" collapsed="false">
      <c r="A4" s="6" t="s">
        <v>60</v>
      </c>
      <c r="B4" s="7" t="n">
        <v>46287</v>
      </c>
      <c r="C4" s="8" t="n">
        <v>0.491516203703704</v>
      </c>
      <c r="D4" s="6" t="s">
        <v>40</v>
      </c>
      <c r="E4" s="6" t="s">
        <v>41</v>
      </c>
      <c r="F4" s="6" t="s">
        <v>42</v>
      </c>
      <c r="G4" s="6" t="s">
        <v>43</v>
      </c>
      <c r="H4" s="6" t="s">
        <v>44</v>
      </c>
      <c r="I4" s="6" t="s">
        <v>61</v>
      </c>
      <c r="J4" s="6" t="s">
        <v>46</v>
      </c>
      <c r="K4" s="6"/>
      <c r="L4" s="6"/>
      <c r="M4" s="6"/>
      <c r="N4" s="6" t="s">
        <v>62</v>
      </c>
      <c r="O4" s="6" t="s">
        <v>63</v>
      </c>
      <c r="P4" s="6"/>
      <c r="Q4" s="6"/>
      <c r="R4" s="6" t="s">
        <v>51</v>
      </c>
      <c r="S4" s="6" t="s">
        <v>52</v>
      </c>
      <c r="T4" s="6"/>
      <c r="U4" s="6"/>
      <c r="V4" s="6"/>
      <c r="W4" s="6"/>
      <c r="X4" s="6"/>
    </row>
    <row r="5" customFormat="false" ht="23.25" hidden="false" customHeight="true" outlineLevel="0" collapsed="false">
      <c r="A5" s="6" t="s">
        <v>64</v>
      </c>
      <c r="B5" s="7" t="n">
        <v>46287</v>
      </c>
      <c r="C5" s="8" t="n">
        <v>0.491516203703704</v>
      </c>
      <c r="D5" s="6" t="s">
        <v>40</v>
      </c>
      <c r="E5" s="6" t="s">
        <v>41</v>
      </c>
      <c r="F5" s="6" t="s">
        <v>42</v>
      </c>
      <c r="G5" s="6" t="s">
        <v>43</v>
      </c>
      <c r="H5" s="6" t="s">
        <v>44</v>
      </c>
      <c r="I5" s="6" t="s">
        <v>61</v>
      </c>
      <c r="J5" s="6" t="s">
        <v>46</v>
      </c>
      <c r="K5" s="6"/>
      <c r="L5" s="6"/>
      <c r="M5" s="6"/>
      <c r="N5" s="6" t="s">
        <v>65</v>
      </c>
      <c r="O5" s="6" t="s">
        <v>66</v>
      </c>
      <c r="P5" s="6"/>
      <c r="Q5" s="6"/>
      <c r="R5" s="6" t="s">
        <v>51</v>
      </c>
      <c r="S5" s="6" t="s">
        <v>52</v>
      </c>
      <c r="T5" s="6"/>
      <c r="U5" s="6"/>
      <c r="V5" s="6"/>
      <c r="W5" s="6"/>
      <c r="X5" s="6"/>
    </row>
    <row r="6" customFormat="false" ht="34.5" hidden="false" customHeight="true" outlineLevel="0" collapsed="false">
      <c r="A6" s="6" t="s">
        <v>67</v>
      </c>
      <c r="B6" s="7" t="n">
        <v>46287</v>
      </c>
      <c r="C6" s="8" t="n">
        <v>0.491527777777778</v>
      </c>
      <c r="D6" s="6" t="s">
        <v>40</v>
      </c>
      <c r="E6" s="6" t="s">
        <v>41</v>
      </c>
      <c r="F6" s="6" t="s">
        <v>42</v>
      </c>
      <c r="G6" s="6" t="s">
        <v>43</v>
      </c>
      <c r="H6" s="6" t="s">
        <v>44</v>
      </c>
      <c r="I6" s="6" t="s">
        <v>61</v>
      </c>
      <c r="J6" s="6" t="s">
        <v>46</v>
      </c>
      <c r="K6" s="6"/>
      <c r="L6" s="6"/>
      <c r="M6" s="6"/>
      <c r="N6" s="6" t="s">
        <v>68</v>
      </c>
      <c r="O6" s="6" t="s">
        <v>69</v>
      </c>
      <c r="P6" s="6"/>
      <c r="Q6" s="6"/>
      <c r="R6" s="6" t="s">
        <v>51</v>
      </c>
      <c r="S6" s="6" t="s">
        <v>52</v>
      </c>
      <c r="T6" s="6"/>
      <c r="U6" s="6"/>
      <c r="V6" s="6"/>
      <c r="W6" s="6"/>
      <c r="X6" s="6"/>
    </row>
    <row r="7" customFormat="false" ht="34.5" hidden="false" customHeight="true" outlineLevel="0" collapsed="false">
      <c r="A7" s="6" t="s">
        <v>70</v>
      </c>
      <c r="B7" s="7" t="n">
        <v>46287</v>
      </c>
      <c r="C7" s="8" t="n">
        <v>0.496064814814815</v>
      </c>
      <c r="D7" s="6" t="s">
        <v>40</v>
      </c>
      <c r="E7" s="6" t="s">
        <v>41</v>
      </c>
      <c r="F7" s="6" t="s">
        <v>42</v>
      </c>
      <c r="G7" s="6" t="s">
        <v>43</v>
      </c>
      <c r="H7" s="6" t="s">
        <v>44</v>
      </c>
      <c r="I7" s="6" t="s">
        <v>45</v>
      </c>
      <c r="J7" s="6" t="s">
        <v>71</v>
      </c>
      <c r="K7" s="6" t="s">
        <v>72</v>
      </c>
      <c r="L7" s="6" t="s">
        <v>72</v>
      </c>
      <c r="M7" s="6"/>
      <c r="N7" s="6" t="s">
        <v>73</v>
      </c>
      <c r="O7" s="6"/>
      <c r="P7" s="6"/>
      <c r="Q7" s="6"/>
      <c r="R7" s="6" t="s">
        <v>51</v>
      </c>
      <c r="S7" s="6" t="s">
        <v>52</v>
      </c>
      <c r="T7" s="6" t="s">
        <v>74</v>
      </c>
      <c r="U7" s="6"/>
      <c r="V7" s="6"/>
      <c r="W7" s="6"/>
      <c r="X7" s="6"/>
    </row>
    <row r="8" customFormat="false" ht="23.25" hidden="false" customHeight="true" outlineLevel="0" collapsed="false">
      <c r="A8" s="6" t="s">
        <v>75</v>
      </c>
      <c r="B8" s="7" t="n">
        <v>46287</v>
      </c>
      <c r="C8" s="8" t="n">
        <v>0.496064814814815</v>
      </c>
      <c r="D8" s="6" t="s">
        <v>40</v>
      </c>
      <c r="E8" s="6" t="s">
        <v>41</v>
      </c>
      <c r="F8" s="6" t="s">
        <v>42</v>
      </c>
      <c r="G8" s="6" t="s">
        <v>43</v>
      </c>
      <c r="H8" s="6" t="s">
        <v>44</v>
      </c>
      <c r="I8" s="6" t="s">
        <v>45</v>
      </c>
      <c r="J8" s="6" t="s">
        <v>71</v>
      </c>
      <c r="K8" s="6" t="s">
        <v>76</v>
      </c>
      <c r="L8" s="6" t="s">
        <v>76</v>
      </c>
      <c r="M8" s="6"/>
      <c r="N8" s="6" t="s">
        <v>77</v>
      </c>
      <c r="O8" s="6"/>
      <c r="P8" s="6"/>
      <c r="Q8" s="6"/>
      <c r="R8" s="6" t="s">
        <v>51</v>
      </c>
      <c r="S8" s="6" t="s">
        <v>52</v>
      </c>
      <c r="T8" s="6" t="s">
        <v>78</v>
      </c>
      <c r="U8" s="6"/>
      <c r="V8" s="6"/>
      <c r="W8" s="6"/>
      <c r="X8" s="6"/>
    </row>
    <row r="9" customFormat="false" ht="23.25" hidden="false" customHeight="true" outlineLevel="0" collapsed="false">
      <c r="A9" s="6" t="s">
        <v>79</v>
      </c>
      <c r="B9" s="7" t="n">
        <v>46287</v>
      </c>
      <c r="C9" s="8" t="n">
        <v>0.496076388888889</v>
      </c>
      <c r="D9" s="6" t="s">
        <v>40</v>
      </c>
      <c r="E9" s="6" t="s">
        <v>41</v>
      </c>
      <c r="F9" s="6" t="s">
        <v>42</v>
      </c>
      <c r="G9" s="6" t="s">
        <v>43</v>
      </c>
      <c r="H9" s="6" t="s">
        <v>44</v>
      </c>
      <c r="I9" s="6" t="s">
        <v>45</v>
      </c>
      <c r="J9" s="6" t="s">
        <v>71</v>
      </c>
      <c r="K9" s="6" t="s">
        <v>80</v>
      </c>
      <c r="L9" s="6" t="s">
        <v>80</v>
      </c>
      <c r="M9" s="6"/>
      <c r="N9" s="6" t="s">
        <v>81</v>
      </c>
      <c r="O9" s="6"/>
      <c r="P9" s="6"/>
      <c r="Q9" s="6"/>
      <c r="R9" s="6" t="s">
        <v>51</v>
      </c>
      <c r="S9" s="6" t="s">
        <v>52</v>
      </c>
      <c r="T9" s="6"/>
      <c r="U9" s="6"/>
      <c r="V9" s="6"/>
      <c r="W9" s="6"/>
      <c r="X9" s="6"/>
    </row>
    <row r="10" customFormat="false" ht="23.25" hidden="false" customHeight="true" outlineLevel="0" collapsed="false">
      <c r="A10" s="6" t="s">
        <v>82</v>
      </c>
      <c r="B10" s="7" t="n">
        <v>46287</v>
      </c>
      <c r="C10" s="8" t="n">
        <v>0.504305555555556</v>
      </c>
      <c r="D10" s="6" t="s">
        <v>40</v>
      </c>
      <c r="E10" s="6" t="s">
        <v>41</v>
      </c>
      <c r="F10" s="6" t="s">
        <v>42</v>
      </c>
      <c r="G10" s="6" t="s">
        <v>43</v>
      </c>
      <c r="H10" s="6" t="s">
        <v>83</v>
      </c>
      <c r="I10" s="6" t="s">
        <v>61</v>
      </c>
      <c r="J10" s="6" t="s">
        <v>84</v>
      </c>
      <c r="K10" s="6"/>
      <c r="L10" s="6"/>
      <c r="M10" s="6"/>
      <c r="N10" s="6" t="s">
        <v>85</v>
      </c>
      <c r="O10" s="6" t="s">
        <v>86</v>
      </c>
      <c r="P10" s="6"/>
      <c r="Q10" s="6"/>
      <c r="R10" s="6" t="s">
        <v>51</v>
      </c>
      <c r="S10" s="6" t="s">
        <v>52</v>
      </c>
      <c r="T10" s="6"/>
      <c r="U10" s="6"/>
      <c r="V10" s="6"/>
      <c r="W10" s="6"/>
      <c r="X10" s="6"/>
    </row>
    <row r="11" customFormat="false" ht="23.25" hidden="false" customHeight="true" outlineLevel="0" collapsed="false">
      <c r="A11" s="6" t="s">
        <v>87</v>
      </c>
      <c r="B11" s="7" t="n">
        <v>46287</v>
      </c>
      <c r="C11" s="8" t="n">
        <v>0.50431712962963</v>
      </c>
      <c r="D11" s="6" t="s">
        <v>40</v>
      </c>
      <c r="E11" s="6" t="s">
        <v>41</v>
      </c>
      <c r="F11" s="6" t="s">
        <v>42</v>
      </c>
      <c r="G11" s="6" t="s">
        <v>43</v>
      </c>
      <c r="H11" s="6" t="s">
        <v>83</v>
      </c>
      <c r="I11" s="6" t="s">
        <v>88</v>
      </c>
      <c r="J11" s="6" t="s">
        <v>84</v>
      </c>
      <c r="K11" s="6"/>
      <c r="L11" s="6"/>
      <c r="M11" s="6"/>
      <c r="N11" s="6" t="s">
        <v>89</v>
      </c>
      <c r="O11" s="6"/>
      <c r="P11" s="6"/>
      <c r="Q11" s="6"/>
      <c r="R11" s="6" t="s">
        <v>51</v>
      </c>
      <c r="S11" s="6" t="s">
        <v>52</v>
      </c>
      <c r="T11" s="6"/>
      <c r="U11" s="6"/>
      <c r="V11" s="6"/>
      <c r="W11" s="6"/>
      <c r="X11" s="6"/>
    </row>
    <row r="12" customFormat="false" ht="79.5" hidden="false" customHeight="true" outlineLevel="0" collapsed="false">
      <c r="A12" s="6" t="s">
        <v>90</v>
      </c>
      <c r="B12" s="7" t="n">
        <v>46288</v>
      </c>
      <c r="C12" s="8" t="n">
        <v>0.546921296296296</v>
      </c>
      <c r="D12" s="6" t="s">
        <v>40</v>
      </c>
      <c r="E12" s="6" t="s">
        <v>91</v>
      </c>
      <c r="F12" s="6" t="s">
        <v>42</v>
      </c>
      <c r="G12" s="6" t="s">
        <v>43</v>
      </c>
      <c r="H12" s="6" t="s">
        <v>83</v>
      </c>
      <c r="I12" s="6" t="s">
        <v>92</v>
      </c>
      <c r="J12" s="6" t="s">
        <v>93</v>
      </c>
      <c r="K12" s="6"/>
      <c r="L12" s="6"/>
      <c r="M12" s="6"/>
      <c r="N12" s="6" t="s">
        <v>94</v>
      </c>
      <c r="O12" s="6"/>
      <c r="P12" s="6"/>
      <c r="Q12" s="6"/>
      <c r="R12" s="6" t="s">
        <v>51</v>
      </c>
      <c r="S12" s="6" t="s">
        <v>52</v>
      </c>
      <c r="T12" s="6"/>
      <c r="U12" s="6"/>
      <c r="V12" s="6"/>
      <c r="W12" s="6"/>
      <c r="X12" s="6" t="s">
        <v>95</v>
      </c>
    </row>
    <row r="13" customFormat="false" ht="23.25" hidden="false" customHeight="true" outlineLevel="0" collapsed="false">
      <c r="A13" s="6" t="s">
        <v>96</v>
      </c>
      <c r="B13" s="7" t="n">
        <v>46288</v>
      </c>
      <c r="C13" s="8" t="n">
        <v>0.551018518518519</v>
      </c>
      <c r="D13" s="6" t="s">
        <v>40</v>
      </c>
      <c r="E13" s="6" t="s">
        <v>91</v>
      </c>
      <c r="F13" s="6" t="s">
        <v>42</v>
      </c>
      <c r="G13" s="6" t="s">
        <v>43</v>
      </c>
      <c r="H13" s="6" t="s">
        <v>83</v>
      </c>
      <c r="I13" s="6" t="s">
        <v>45</v>
      </c>
      <c r="J13" s="6" t="s">
        <v>93</v>
      </c>
      <c r="K13" s="6" t="s">
        <v>97</v>
      </c>
      <c r="L13" s="6" t="s">
        <v>98</v>
      </c>
      <c r="M13" s="6"/>
      <c r="N13" s="6" t="s">
        <v>99</v>
      </c>
      <c r="O13" s="6"/>
      <c r="P13" s="6"/>
      <c r="Q13" s="6"/>
      <c r="R13" s="6" t="s">
        <v>51</v>
      </c>
      <c r="S13" s="6" t="s">
        <v>52</v>
      </c>
      <c r="T13" s="6"/>
      <c r="U13" s="6"/>
      <c r="V13" s="6"/>
      <c r="W13" s="6"/>
      <c r="X13" s="6"/>
    </row>
    <row r="14" customFormat="false" ht="68.25" hidden="false" customHeight="true" outlineLevel="0" collapsed="false">
      <c r="A14" s="9" t="s">
        <v>100</v>
      </c>
      <c r="B14" s="10" t="n">
        <v>46288</v>
      </c>
      <c r="C14" s="11" t="n">
        <v>0.554097222222222</v>
      </c>
      <c r="D14" s="9" t="s">
        <v>40</v>
      </c>
      <c r="E14" s="9" t="s">
        <v>91</v>
      </c>
      <c r="F14" s="9" t="s">
        <v>42</v>
      </c>
      <c r="G14" s="9" t="s">
        <v>43</v>
      </c>
      <c r="H14" s="9" t="s">
        <v>83</v>
      </c>
      <c r="I14" s="9" t="s">
        <v>88</v>
      </c>
      <c r="J14" s="9" t="s">
        <v>101</v>
      </c>
      <c r="K14" s="9"/>
      <c r="L14" s="9"/>
      <c r="M14" s="9"/>
      <c r="N14" s="9" t="s">
        <v>102</v>
      </c>
      <c r="O14" s="9" t="s">
        <v>103</v>
      </c>
      <c r="P14" s="9"/>
      <c r="Q14" s="9"/>
      <c r="R14" s="9" t="s">
        <v>51</v>
      </c>
      <c r="S14" s="9" t="s">
        <v>52</v>
      </c>
      <c r="T14" s="9"/>
      <c r="U14" s="9"/>
      <c r="V14" s="9"/>
      <c r="W14" s="9"/>
      <c r="X14" s="9" t="s">
        <v>104</v>
      </c>
    </row>
    <row r="15" customFormat="false" ht="113.25" hidden="false" customHeight="true" outlineLevel="0" collapsed="false">
      <c r="A15" s="9" t="s">
        <v>105</v>
      </c>
      <c r="B15" s="10" t="n">
        <v>46288</v>
      </c>
      <c r="C15" s="11" t="n">
        <v>0.556180555555556</v>
      </c>
      <c r="D15" s="9" t="s">
        <v>40</v>
      </c>
      <c r="E15" s="9" t="s">
        <v>91</v>
      </c>
      <c r="F15" s="9" t="s">
        <v>42</v>
      </c>
      <c r="G15" s="9" t="s">
        <v>43</v>
      </c>
      <c r="H15" s="9" t="s">
        <v>83</v>
      </c>
      <c r="I15" s="9" t="s">
        <v>88</v>
      </c>
      <c r="J15" s="9" t="s">
        <v>101</v>
      </c>
      <c r="K15" s="9"/>
      <c r="L15" s="9"/>
      <c r="M15" s="9"/>
      <c r="N15" s="9" t="s">
        <v>106</v>
      </c>
      <c r="O15" s="9" t="s">
        <v>107</v>
      </c>
      <c r="P15" s="9"/>
      <c r="Q15" s="9"/>
      <c r="R15" s="9" t="s">
        <v>51</v>
      </c>
      <c r="S15" s="9" t="s">
        <v>52</v>
      </c>
      <c r="T15" s="9"/>
      <c r="U15" s="9" t="s">
        <v>108</v>
      </c>
      <c r="V15" s="9"/>
      <c r="W15" s="9"/>
      <c r="X15" s="9"/>
    </row>
    <row r="16" customFormat="false" ht="68.25" hidden="false" customHeight="true" outlineLevel="0" collapsed="false">
      <c r="A16" s="9" t="s">
        <v>109</v>
      </c>
      <c r="B16" s="10" t="n">
        <v>46288</v>
      </c>
      <c r="C16" s="11" t="n">
        <v>0.557847222222222</v>
      </c>
      <c r="D16" s="9" t="s">
        <v>40</v>
      </c>
      <c r="E16" s="9" t="s">
        <v>91</v>
      </c>
      <c r="F16" s="9" t="s">
        <v>42</v>
      </c>
      <c r="G16" s="9" t="s">
        <v>43</v>
      </c>
      <c r="H16" s="9" t="s">
        <v>83</v>
      </c>
      <c r="I16" s="9" t="s">
        <v>88</v>
      </c>
      <c r="J16" s="9" t="s">
        <v>101</v>
      </c>
      <c r="K16" s="9"/>
      <c r="L16" s="9"/>
      <c r="M16" s="9"/>
      <c r="N16" s="9" t="s">
        <v>110</v>
      </c>
      <c r="O16" s="9" t="s">
        <v>111</v>
      </c>
      <c r="P16" s="9"/>
      <c r="Q16" s="9"/>
      <c r="R16" s="9" t="s">
        <v>51</v>
      </c>
      <c r="S16" s="9" t="s">
        <v>52</v>
      </c>
      <c r="T16" s="9"/>
      <c r="U16" s="9"/>
      <c r="V16" s="9"/>
      <c r="W16" s="9"/>
      <c r="X16" s="9"/>
    </row>
    <row r="17" customFormat="false" ht="90.75" hidden="false" customHeight="true" outlineLevel="0" collapsed="false">
      <c r="A17" s="9" t="s">
        <v>112</v>
      </c>
      <c r="B17" s="10" t="n">
        <v>46289</v>
      </c>
      <c r="C17" s="11" t="n">
        <v>0.441539351851852</v>
      </c>
      <c r="D17" s="9" t="s">
        <v>40</v>
      </c>
      <c r="E17" s="9" t="s">
        <v>113</v>
      </c>
      <c r="F17" s="9" t="s">
        <v>42</v>
      </c>
      <c r="G17" s="9" t="s">
        <v>43</v>
      </c>
      <c r="H17" s="9" t="s">
        <v>83</v>
      </c>
      <c r="I17" s="9" t="s">
        <v>92</v>
      </c>
      <c r="J17" s="9" t="s">
        <v>114</v>
      </c>
      <c r="K17" s="9"/>
      <c r="L17" s="9"/>
      <c r="M17" s="9"/>
      <c r="N17" s="9" t="s">
        <v>115</v>
      </c>
      <c r="O17" s="9"/>
      <c r="P17" s="9"/>
      <c r="Q17" s="9"/>
      <c r="R17" s="9" t="s">
        <v>51</v>
      </c>
      <c r="S17" s="9" t="s">
        <v>52</v>
      </c>
      <c r="T17" s="9"/>
      <c r="U17" s="9"/>
      <c r="V17" s="9"/>
      <c r="W17" s="9"/>
      <c r="X17" s="9" t="s">
        <v>116</v>
      </c>
    </row>
    <row r="18" customFormat="false" ht="23.25" hidden="false" customHeight="true" outlineLevel="0" collapsed="false">
      <c r="A18" s="9" t="s">
        <v>117</v>
      </c>
      <c r="B18" s="10" t="n">
        <v>46289</v>
      </c>
      <c r="C18" s="11" t="n">
        <v>0.441655092592593</v>
      </c>
      <c r="D18" s="9" t="s">
        <v>40</v>
      </c>
      <c r="E18" s="9" t="s">
        <v>113</v>
      </c>
      <c r="F18" s="9" t="s">
        <v>42</v>
      </c>
      <c r="G18" s="9" t="s">
        <v>43</v>
      </c>
      <c r="H18" s="9" t="s">
        <v>83</v>
      </c>
      <c r="I18" s="9" t="s">
        <v>45</v>
      </c>
      <c r="J18" s="9" t="s">
        <v>114</v>
      </c>
      <c r="K18" s="9" t="s">
        <v>118</v>
      </c>
      <c r="L18" s="9" t="s">
        <v>119</v>
      </c>
      <c r="M18" s="9"/>
      <c r="N18" s="9" t="s">
        <v>120</v>
      </c>
      <c r="O18" s="9"/>
      <c r="P18" s="9"/>
      <c r="Q18" s="9"/>
      <c r="R18" s="9" t="s">
        <v>51</v>
      </c>
      <c r="S18" s="9" t="s">
        <v>52</v>
      </c>
      <c r="T18" s="9"/>
      <c r="U18" s="9"/>
      <c r="V18" s="9"/>
      <c r="W18" s="9"/>
      <c r="X18" s="9"/>
    </row>
    <row r="19" customFormat="false" ht="57.45" hidden="false" customHeight="false" outlineLevel="0" collapsed="false">
      <c r="A19" s="9" t="s">
        <v>121</v>
      </c>
      <c r="B19" s="10" t="n">
        <v>46289</v>
      </c>
      <c r="C19" s="11" t="n">
        <v>0.457569444444444</v>
      </c>
      <c r="D19" s="9" t="s">
        <v>40</v>
      </c>
      <c r="E19" s="9" t="s">
        <v>113</v>
      </c>
      <c r="F19" s="9" t="s">
        <v>42</v>
      </c>
      <c r="G19" s="9" t="s">
        <v>43</v>
      </c>
      <c r="H19" s="9" t="s">
        <v>83</v>
      </c>
      <c r="I19" s="9" t="s">
        <v>45</v>
      </c>
      <c r="J19" s="9" t="s">
        <v>122</v>
      </c>
      <c r="K19" s="9" t="s">
        <v>123</v>
      </c>
      <c r="L19" s="9" t="s">
        <v>124</v>
      </c>
      <c r="M19" s="9"/>
      <c r="N19" s="9" t="s">
        <v>125</v>
      </c>
      <c r="O19" s="9" t="s">
        <v>126</v>
      </c>
      <c r="P19" s="9"/>
      <c r="Q19" s="9"/>
      <c r="R19" s="9" t="s">
        <v>51</v>
      </c>
      <c r="S19" s="9" t="s">
        <v>52</v>
      </c>
      <c r="T19" s="9"/>
      <c r="U19" s="9"/>
      <c r="V19" s="9"/>
      <c r="W19" s="9"/>
      <c r="X19" s="9"/>
    </row>
    <row r="20" customFormat="false" ht="57.45" hidden="false" customHeight="false" outlineLevel="0" collapsed="false">
      <c r="A20" s="9" t="s">
        <v>127</v>
      </c>
      <c r="B20" s="10" t="n">
        <v>46289</v>
      </c>
      <c r="C20" s="11" t="n">
        <v>0.457569444444444</v>
      </c>
      <c r="D20" s="9" t="s">
        <v>40</v>
      </c>
      <c r="E20" s="9" t="s">
        <v>113</v>
      </c>
      <c r="F20" s="9" t="s">
        <v>42</v>
      </c>
      <c r="G20" s="9" t="s">
        <v>43</v>
      </c>
      <c r="H20" s="9" t="s">
        <v>83</v>
      </c>
      <c r="I20" s="9" t="s">
        <v>128</v>
      </c>
      <c r="J20" s="9" t="s">
        <v>122</v>
      </c>
      <c r="K20" s="9"/>
      <c r="L20" s="9"/>
      <c r="M20" s="9"/>
      <c r="N20" s="9" t="s">
        <v>129</v>
      </c>
      <c r="O20" s="9"/>
      <c r="P20" s="9"/>
      <c r="Q20" s="9"/>
      <c r="R20" s="9" t="s">
        <v>51</v>
      </c>
      <c r="S20" s="9" t="s">
        <v>52</v>
      </c>
      <c r="T20" s="9"/>
      <c r="U20" s="9"/>
      <c r="V20" s="9"/>
      <c r="W20" s="9"/>
      <c r="X20" s="9"/>
    </row>
  </sheetData>
  <autoFilter ref="A1:X1"/>
  <dataValidations count="4">
    <dataValidation allowBlank="true" errorStyle="stop" operator="between" showDropDown="false" showErrorMessage="false" showInputMessage="false" sqref="I2:I1009" type="list">
      <formula1>"EXPLORE,DISCOVER,CREATE,MODIFY,FIX,DELETE,RUN,VERIFY,DECISION,NOTE"</formula1>
      <formula2>0</formula2>
    </dataValidation>
    <dataValidation allowBlank="true" errorStyle="stop" operator="between" showDropDown="false" showErrorMessage="false" showInputMessage="false" sqref="R2:R1009" type="list">
      <formula1>"Info,Low,Medium,High,Critical"</formula1>
      <formula2>0</formula2>
    </dataValidation>
    <dataValidation allowBlank="true" errorStyle="stop" operator="between" showDropDown="false" showErrorMessage="false" showInputMessage="false" sqref="S2:S1009" type="list">
      <formula1>"Done,Open,Needs-confirmation,Reverted,Wontfix"</formula1>
      <formula2>0</formula2>
    </dataValidation>
    <dataValidation allowBlank="true" errorStyle="stop" operator="between" showDropDown="false" showErrorMessage="false" showInputMessage="false" sqref="G2:G1009" type="list">
      <formula1>"AI,Human,Tool"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11"/>
    <col collapsed="false" customWidth="true" hidden="false" outlineLevel="0" max="4" min="4" style="1" width="22"/>
    <col collapsed="false" customWidth="true" hidden="false" outlineLevel="0" max="5" min="5" style="1" width="20"/>
    <col collapsed="false" customWidth="true" hidden="false" outlineLevel="0" max="6" min="6" style="1" width="26"/>
    <col collapsed="false" customWidth="true" hidden="false" outlineLevel="0" max="7" min="7" style="1" width="22"/>
    <col collapsed="false" customWidth="true" hidden="false" outlineLevel="0" max="8" min="8" style="1" width="60"/>
    <col collapsed="false" customWidth="true" hidden="false" outlineLevel="0" max="9" min="9" style="1" width="50"/>
    <col collapsed="false" customWidth="true" hidden="false" outlineLevel="0" max="10" min="10" style="1" width="44"/>
    <col collapsed="false" customWidth="true" hidden="false" outlineLevel="0" max="11" min="11" style="1" width="18"/>
    <col collapsed="false" customWidth="true" hidden="false" outlineLevel="0" max="12" min="12" style="1" width="16"/>
  </cols>
  <sheetData>
    <row r="1" customFormat="false" ht="31.5" hidden="false" customHeight="true" outlineLevel="0" collapsed="false">
      <c r="A1" s="5" t="s">
        <v>130</v>
      </c>
      <c r="B1" s="5" t="s">
        <v>131</v>
      </c>
      <c r="C1" s="5" t="s">
        <v>9</v>
      </c>
      <c r="D1" s="5" t="s">
        <v>132</v>
      </c>
      <c r="E1" s="5" t="s">
        <v>26</v>
      </c>
      <c r="F1" s="5" t="s">
        <v>27</v>
      </c>
      <c r="G1" s="5" t="s">
        <v>133</v>
      </c>
      <c r="H1" s="5" t="s">
        <v>134</v>
      </c>
      <c r="I1" s="5" t="s">
        <v>135</v>
      </c>
      <c r="J1" s="5" t="s">
        <v>136</v>
      </c>
      <c r="K1" s="5" t="s">
        <v>11</v>
      </c>
      <c r="L1" s="5" t="s">
        <v>137</v>
      </c>
    </row>
    <row r="2" customFormat="false" ht="45.75" hidden="false" customHeight="true" outlineLevel="0" collapsed="false">
      <c r="A2" s="6" t="s">
        <v>138</v>
      </c>
      <c r="B2" s="7" t="n">
        <v>46288</v>
      </c>
      <c r="C2" s="6" t="s">
        <v>139</v>
      </c>
      <c r="D2" s="6" t="s">
        <v>140</v>
      </c>
      <c r="E2" s="6" t="s">
        <v>93</v>
      </c>
      <c r="F2" s="6" t="s">
        <v>141</v>
      </c>
      <c r="G2" s="6"/>
      <c r="H2" s="6" t="s">
        <v>142</v>
      </c>
      <c r="I2" s="6" t="s">
        <v>143</v>
      </c>
      <c r="J2" s="6" t="s">
        <v>144</v>
      </c>
      <c r="K2" s="6" t="s">
        <v>145</v>
      </c>
      <c r="L2" s="6"/>
    </row>
    <row r="3" customFormat="false" ht="57" hidden="false" customHeight="true" outlineLevel="0" collapsed="false">
      <c r="A3" s="9" t="s">
        <v>146</v>
      </c>
      <c r="B3" s="10" t="n">
        <v>46289</v>
      </c>
      <c r="C3" s="9" t="s">
        <v>147</v>
      </c>
      <c r="D3" s="9" t="s">
        <v>148</v>
      </c>
      <c r="E3" s="9" t="s">
        <v>114</v>
      </c>
      <c r="F3" s="9" t="s">
        <v>149</v>
      </c>
      <c r="G3" s="9"/>
      <c r="H3" s="9" t="s">
        <v>150</v>
      </c>
      <c r="I3" s="9" t="s">
        <v>151</v>
      </c>
      <c r="J3" s="9" t="s">
        <v>152</v>
      </c>
      <c r="K3" s="9" t="s">
        <v>153</v>
      </c>
      <c r="L3" s="9"/>
    </row>
  </sheetData>
  <autoFilter ref="A1:L1"/>
  <dataValidations count="2">
    <dataValidation allowBlank="true" errorStyle="stop" operator="between" showDropDown="false" showErrorMessage="false" showInputMessage="false" sqref="C2:C1001" type="list">
      <formula1>"Info,Low,Medium,High,Critical"</formula1>
      <formula2>0</formula2>
    </dataValidation>
    <dataValidation allowBlank="true" errorStyle="stop" operator="between" showDropDown="false" showErrorMessage="false" showInputMessage="false" sqref="K2:K1001" type="list">
      <formula1>"Done,Open,Needs-confirmation,Reverted,Wontfix"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0"/>
    <col collapsed="false" customWidth="true" hidden="false" outlineLevel="0" max="3" min="3" style="1" width="16"/>
    <col collapsed="false" customWidth="true" hidden="false" outlineLevel="0" max="4" min="4" style="1" width="66"/>
    <col collapsed="false" customWidth="true" hidden="false" outlineLevel="0" max="5" min="5" style="1" width="40"/>
    <col collapsed="false" customWidth="true" hidden="false" outlineLevel="0" max="7" min="6" style="1" width="14"/>
  </cols>
  <sheetData>
    <row r="1" customFormat="false" ht="31.5" hidden="false" customHeight="true" outlineLevel="0" collapsed="false">
      <c r="A1" s="5" t="s">
        <v>28</v>
      </c>
      <c r="B1" s="5" t="s">
        <v>154</v>
      </c>
      <c r="C1" s="5" t="s">
        <v>155</v>
      </c>
      <c r="D1" s="5" t="s">
        <v>156</v>
      </c>
      <c r="E1" s="5" t="s">
        <v>157</v>
      </c>
      <c r="F1" s="5" t="s">
        <v>158</v>
      </c>
      <c r="G1" s="5" t="s">
        <v>159</v>
      </c>
    </row>
    <row r="2" customFormat="false" ht="23.25" hidden="false" customHeight="true" outlineLevel="0" collapsed="false">
      <c r="A2" s="6" t="s">
        <v>141</v>
      </c>
      <c r="B2" s="6" t="s">
        <v>160</v>
      </c>
      <c r="C2" s="6" t="n">
        <v>460676</v>
      </c>
      <c r="D2" s="6" t="s">
        <v>161</v>
      </c>
      <c r="E2" s="6" t="s">
        <v>162</v>
      </c>
      <c r="F2" s="7" t="n">
        <v>46287</v>
      </c>
      <c r="G2" s="6"/>
    </row>
    <row r="3" customFormat="false" ht="15" hidden="false" customHeight="true" outlineLevel="0" collapsed="false">
      <c r="A3" s="6" t="s">
        <v>72</v>
      </c>
      <c r="B3" s="6" t="s">
        <v>163</v>
      </c>
      <c r="C3" s="6" t="n">
        <v>365</v>
      </c>
      <c r="D3" s="6" t="s">
        <v>164</v>
      </c>
      <c r="E3" s="6" t="s">
        <v>165</v>
      </c>
      <c r="F3" s="7" t="n">
        <v>46287</v>
      </c>
      <c r="G3" s="6"/>
    </row>
    <row r="4" customFormat="false" ht="15" hidden="false" customHeight="true" outlineLevel="0" collapsed="false">
      <c r="A4" s="6" t="s">
        <v>76</v>
      </c>
      <c r="B4" s="6" t="s">
        <v>166</v>
      </c>
      <c r="C4" s="6" t="n">
        <v>415</v>
      </c>
      <c r="D4" s="6" t="s">
        <v>167</v>
      </c>
      <c r="E4" s="6" t="s">
        <v>168</v>
      </c>
      <c r="F4" s="7" t="n">
        <v>46287</v>
      </c>
      <c r="G4" s="6"/>
    </row>
    <row r="5" customFormat="false" ht="15" hidden="false" customHeight="true" outlineLevel="0" collapsed="false">
      <c r="A5" s="6" t="s">
        <v>80</v>
      </c>
      <c r="B5" s="6" t="s">
        <v>169</v>
      </c>
      <c r="C5" s="6" t="n">
        <v>420</v>
      </c>
      <c r="D5" s="6" t="s">
        <v>170</v>
      </c>
      <c r="E5" s="6" t="s">
        <v>171</v>
      </c>
      <c r="F5" s="7" t="n">
        <v>46287</v>
      </c>
      <c r="G5" s="6"/>
    </row>
    <row r="6" customFormat="false" ht="15" hidden="false" customHeight="true" outlineLevel="0" collapsed="false">
      <c r="A6" s="6" t="s">
        <v>172</v>
      </c>
      <c r="B6" s="6" t="s">
        <v>160</v>
      </c>
      <c r="C6" s="6" t="n">
        <v>192</v>
      </c>
      <c r="D6" s="6" t="s">
        <v>173</v>
      </c>
      <c r="E6" s="6" t="s">
        <v>174</v>
      </c>
      <c r="F6" s="7" t="n">
        <v>46288</v>
      </c>
      <c r="G6" s="6"/>
    </row>
    <row r="7" customFormat="false" ht="23.25" hidden="false" customHeight="true" outlineLevel="0" collapsed="false">
      <c r="A7" s="6" t="s">
        <v>175</v>
      </c>
      <c r="B7" s="6" t="s">
        <v>176</v>
      </c>
      <c r="C7" s="6" t="n">
        <v>22802</v>
      </c>
      <c r="D7" s="6" t="s">
        <v>177</v>
      </c>
      <c r="E7" s="6" t="s">
        <v>178</v>
      </c>
      <c r="F7" s="7" t="n">
        <v>46288</v>
      </c>
      <c r="G7" s="6"/>
    </row>
    <row r="8" customFormat="false" ht="15" hidden="false" customHeight="true" outlineLevel="0" collapsed="false">
      <c r="A8" s="6" t="s">
        <v>179</v>
      </c>
      <c r="B8" s="6" t="s">
        <v>180</v>
      </c>
      <c r="C8" s="6" t="n">
        <v>9524</v>
      </c>
      <c r="D8" s="6" t="s">
        <v>181</v>
      </c>
      <c r="E8" s="6" t="s">
        <v>182</v>
      </c>
      <c r="F8" s="7" t="n">
        <v>46288</v>
      </c>
      <c r="G8" s="6"/>
    </row>
    <row r="9" customFormat="false" ht="15" hidden="false" customHeight="true" outlineLevel="0" collapsed="false">
      <c r="A9" s="6" t="s">
        <v>98</v>
      </c>
      <c r="B9" s="6" t="s">
        <v>183</v>
      </c>
      <c r="C9" s="6" t="n">
        <v>13590</v>
      </c>
      <c r="D9" s="6" t="s">
        <v>184</v>
      </c>
      <c r="E9" s="6" t="s">
        <v>185</v>
      </c>
      <c r="F9" s="7" t="n">
        <v>46288</v>
      </c>
      <c r="G9" s="6"/>
    </row>
    <row r="10" customFormat="false" ht="15" hidden="false" customHeight="true" outlineLevel="0" collapsed="false">
      <c r="A10" s="9" t="s">
        <v>186</v>
      </c>
      <c r="B10" s="9" t="s">
        <v>160</v>
      </c>
      <c r="C10" s="9" t="n">
        <v>468785</v>
      </c>
      <c r="D10" s="9" t="s">
        <v>187</v>
      </c>
      <c r="E10" s="9" t="s">
        <v>188</v>
      </c>
      <c r="F10" s="10" t="n">
        <v>46289</v>
      </c>
      <c r="G10" s="9"/>
    </row>
    <row r="11" customFormat="false" ht="15" hidden="false" customHeight="true" outlineLevel="0" collapsed="false">
      <c r="A11" s="9" t="s">
        <v>149</v>
      </c>
      <c r="B11" s="9" t="s">
        <v>176</v>
      </c>
      <c r="C11" s="9" t="n">
        <v>48765</v>
      </c>
      <c r="D11" s="9" t="s">
        <v>189</v>
      </c>
      <c r="E11" s="9" t="s">
        <v>190</v>
      </c>
      <c r="F11" s="10" t="n">
        <v>46289</v>
      </c>
      <c r="G11" s="9"/>
    </row>
    <row r="12" customFormat="false" ht="15" hidden="false" customHeight="true" outlineLevel="0" collapsed="false">
      <c r="A12" s="9" t="s">
        <v>119</v>
      </c>
      <c r="B12" s="9" t="s">
        <v>183</v>
      </c>
      <c r="C12" s="9" t="n">
        <v>9337</v>
      </c>
      <c r="D12" s="9" t="s">
        <v>191</v>
      </c>
      <c r="E12" s="9" t="s">
        <v>192</v>
      </c>
      <c r="F12" s="10" t="n">
        <v>46289</v>
      </c>
      <c r="G12" s="9"/>
    </row>
    <row r="13" customFormat="false" ht="15" hidden="false" customHeight="false" outlineLevel="0" collapsed="false">
      <c r="A13" s="9" t="s">
        <v>124</v>
      </c>
      <c r="B13" s="9" t="s">
        <v>180</v>
      </c>
      <c r="C13" s="9" t="n">
        <v>2868</v>
      </c>
      <c r="D13" s="9" t="s">
        <v>193</v>
      </c>
      <c r="E13" s="9" t="s">
        <v>194</v>
      </c>
      <c r="F13" s="10" t="n">
        <v>46289</v>
      </c>
      <c r="G13" s="9"/>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0"/>
    <col collapsed="false" customWidth="true" hidden="false" outlineLevel="0" max="4" min="4" style="1" width="16"/>
    <col collapsed="false" customWidth="true" hidden="false" outlineLevel="0" max="5" min="5" style="1" width="44"/>
    <col collapsed="false" customWidth="true" hidden="false" outlineLevel="0" max="6" min="6" style="1" width="10"/>
    <col collapsed="false" customWidth="true" hidden="false" outlineLevel="0" max="7" min="7" style="1" width="40"/>
    <col collapsed="false" customWidth="true" hidden="false" outlineLevel="0" max="8" min="8" style="1" width="20"/>
    <col collapsed="false" customWidth="true" hidden="false" outlineLevel="0" max="9" min="9" style="1" width="14"/>
    <col collapsed="false" customWidth="true" hidden="false" outlineLevel="0" max="10" min="10" style="1" width="22"/>
    <col collapsed="false" customWidth="true" hidden="false" outlineLevel="0" max="11" min="11" style="1" width="34"/>
    <col collapsed="false" customWidth="true" hidden="false" outlineLevel="0" max="12" min="12" style="1" width="18"/>
    <col collapsed="false" customWidth="true" hidden="false" outlineLevel="0" max="13" min="13" style="1" width="8"/>
    <col collapsed="false" customWidth="true" hidden="false" outlineLevel="0" max="14" min="14" style="1" width="9"/>
    <col collapsed="false" customWidth="true" hidden="false" outlineLevel="0" max="15" min="15" style="1" width="8"/>
    <col collapsed="false" customWidth="true" hidden="false" outlineLevel="0" max="16" min="16" style="1" width="14"/>
    <col collapsed="false" customWidth="true" hidden="false" outlineLevel="0" max="17" min="17" style="1" width="10"/>
    <col collapsed="false" customWidth="true" hidden="false" outlineLevel="0" max="18" min="18" style="1" width="28"/>
    <col collapsed="false" customWidth="true" hidden="false" outlineLevel="0" max="19" min="19" style="1" width="14"/>
    <col collapsed="false" customWidth="true" hidden="false" outlineLevel="0" max="21" min="20" style="1" width="13"/>
    <col collapsed="false" customWidth="true" hidden="false" outlineLevel="0" max="22" min="22" style="1" width="18"/>
    <col collapsed="false" customWidth="true" hidden="false" outlineLevel="0" max="23" min="23" style="1" width="14"/>
    <col collapsed="false" customWidth="true" hidden="false" outlineLevel="0" max="24" min="24" style="1" width="20"/>
    <col collapsed="false" customWidth="true" hidden="false" outlineLevel="0" max="25" min="25" style="1" width="34"/>
    <col collapsed="false" customWidth="true" hidden="false" outlineLevel="0" max="26" min="26" style="1" width="44"/>
    <col collapsed="false" customWidth="true" hidden="false" outlineLevel="0" max="27" min="27" style="1" width="12"/>
    <col collapsed="false" customWidth="true" hidden="false" outlineLevel="0" max="28" min="28" style="1" width="16"/>
  </cols>
  <sheetData>
    <row r="1" customFormat="false" ht="31.5" hidden="false" customHeight="true" outlineLevel="0" collapsed="false">
      <c r="A1" s="5" t="s">
        <v>195</v>
      </c>
      <c r="B1" s="5" t="s">
        <v>131</v>
      </c>
      <c r="C1" s="5" t="s">
        <v>196</v>
      </c>
      <c r="D1" s="5" t="s">
        <v>5</v>
      </c>
      <c r="E1" s="5" t="s">
        <v>197</v>
      </c>
      <c r="F1" s="5" t="s">
        <v>198</v>
      </c>
      <c r="G1" s="5" t="s">
        <v>199</v>
      </c>
      <c r="H1" s="5" t="s">
        <v>200</v>
      </c>
      <c r="I1" s="5" t="s">
        <v>201</v>
      </c>
      <c r="J1" s="5" t="s">
        <v>202</v>
      </c>
      <c r="K1" s="5" t="s">
        <v>203</v>
      </c>
      <c r="L1" s="5" t="s">
        <v>204</v>
      </c>
      <c r="M1" s="5" t="s">
        <v>205</v>
      </c>
      <c r="N1" s="5" t="s">
        <v>206</v>
      </c>
      <c r="O1" s="5" t="s">
        <v>207</v>
      </c>
      <c r="P1" s="5" t="s">
        <v>208</v>
      </c>
      <c r="Q1" s="5" t="s">
        <v>209</v>
      </c>
      <c r="R1" s="5" t="s">
        <v>210</v>
      </c>
      <c r="S1" s="5" t="s">
        <v>211</v>
      </c>
      <c r="T1" s="5" t="s">
        <v>212</v>
      </c>
      <c r="U1" s="5" t="s">
        <v>213</v>
      </c>
      <c r="V1" s="5" t="s">
        <v>214</v>
      </c>
      <c r="W1" s="5" t="s">
        <v>215</v>
      </c>
      <c r="X1" s="5" t="s">
        <v>216</v>
      </c>
      <c r="Y1" s="5" t="s">
        <v>217</v>
      </c>
      <c r="Z1" s="5" t="s">
        <v>218</v>
      </c>
      <c r="AA1" s="5" t="s">
        <v>11</v>
      </c>
      <c r="AB1" s="5" t="s">
        <v>137</v>
      </c>
    </row>
  </sheetData>
  <autoFilter ref="A1:AB1"/>
  <dataValidations count="1">
    <dataValidation allowBlank="true" errorStyle="stop" operator="between" showDropDown="false" showErrorMessage="false" showInputMessage="false" sqref="AA2:AA1001" type="list">
      <formula1>"Planned,Running,Done,Failed,Abandoned"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4"/>
    <col collapsed="false" customWidth="true" hidden="false" outlineLevel="0" max="4" min="4" style="1" width="24"/>
  </cols>
  <sheetData>
    <row r="1" customFormat="false" ht="15" hidden="false" customHeight="true" outlineLevel="0" collapsed="false">
      <c r="A1" s="2" t="s">
        <v>219</v>
      </c>
      <c r="B1" s="12"/>
      <c r="C1" s="12"/>
      <c r="D1" s="12"/>
      <c r="E1" s="12"/>
    </row>
    <row r="2" customFormat="false" ht="15" hidden="false" customHeight="true" outlineLevel="0" collapsed="false">
      <c r="A2" s="12"/>
      <c r="B2" s="12"/>
      <c r="C2" s="12"/>
      <c r="D2" s="12"/>
      <c r="E2" s="12"/>
    </row>
    <row r="3" customFormat="false" ht="15" hidden="false" customHeight="true" outlineLevel="0" collapsed="false">
      <c r="A3" s="12" t="s">
        <v>220</v>
      </c>
      <c r="B3" s="12" t="n">
        <f aca="false">COUNTA(Change_Log!A2:A5000)</f>
        <v>19</v>
      </c>
      <c r="C3" s="12"/>
      <c r="D3" s="12" t="s">
        <v>221</v>
      </c>
      <c r="E3" s="12" t="n">
        <f aca="false">COUNTA(Experiments!A2:A5000)</f>
        <v>0</v>
      </c>
    </row>
    <row r="4" customFormat="false" ht="15" hidden="false" customHeight="true" outlineLevel="0" collapsed="false">
      <c r="A4" s="12" t="s">
        <v>222</v>
      </c>
      <c r="B4" s="12" t="n">
        <f aca="false">COUNTA(Findings!A2:A5000)</f>
        <v>2</v>
      </c>
      <c r="C4" s="12"/>
      <c r="D4" s="12" t="s">
        <v>223</v>
      </c>
      <c r="E4" s="12" t="n">
        <f aca="false">COUNTIF(Experiments!AA2:AA5000,"Done")</f>
        <v>0</v>
      </c>
    </row>
    <row r="5" customFormat="false" ht="15" hidden="false" customHeight="true" outlineLevel="0" collapsed="false">
      <c r="A5" s="12" t="s">
        <v>224</v>
      </c>
      <c r="B5" s="12" t="n">
        <f aca="false">COUNTIF(Findings!K2:K5000,"Open")</f>
        <v>1</v>
      </c>
      <c r="C5" s="12"/>
      <c r="D5" s="12" t="s">
        <v>225</v>
      </c>
      <c r="E5" s="12" t="n">
        <f aca="false">COUNTIF(Experiments!AA2:AA5000,"Failed")</f>
        <v>0</v>
      </c>
    </row>
    <row r="6" customFormat="false" ht="15" hidden="false" customHeight="true" outlineLevel="0" collapsed="false">
      <c r="A6" s="12"/>
      <c r="B6" s="12"/>
      <c r="C6" s="12"/>
      <c r="D6" s="12"/>
      <c r="E6" s="12"/>
    </row>
    <row r="7" customFormat="false" ht="15" hidden="false" customHeight="true" outlineLevel="0" collapsed="false">
      <c r="A7" s="13" t="s">
        <v>226</v>
      </c>
      <c r="B7" s="12"/>
      <c r="C7" s="12"/>
      <c r="D7" s="12"/>
      <c r="E7" s="12"/>
    </row>
    <row r="8" customFormat="false" ht="15" hidden="false" customHeight="true" outlineLevel="0" collapsed="false">
      <c r="A8" s="12" t="s">
        <v>227</v>
      </c>
      <c r="B8" s="12" t="n">
        <f aca="false">COUNTIF(Change_Log!I2:I5000,A8)</f>
        <v>0</v>
      </c>
      <c r="C8" s="12"/>
      <c r="D8" s="12"/>
      <c r="E8" s="12"/>
    </row>
    <row r="9" customFormat="false" ht="15" hidden="false" customHeight="true" outlineLevel="0" collapsed="false">
      <c r="A9" s="12" t="s">
        <v>228</v>
      </c>
      <c r="B9" s="12" t="n">
        <f aca="false">COUNTIF(Change_Log!I2:I5000,A9)</f>
        <v>0</v>
      </c>
      <c r="C9" s="12"/>
      <c r="D9" s="12"/>
      <c r="E9" s="12"/>
    </row>
    <row r="10" customFormat="false" ht="15" hidden="false" customHeight="true" outlineLevel="0" collapsed="false">
      <c r="A10" s="12" t="s">
        <v>45</v>
      </c>
      <c r="B10" s="12" t="n">
        <f aca="false">COUNTIF(Change_Log!I2:I5000,A10)</f>
        <v>8</v>
      </c>
      <c r="C10" s="12"/>
      <c r="D10" s="12"/>
      <c r="E10" s="12"/>
    </row>
    <row r="11" customFormat="false" ht="15" hidden="false" customHeight="true" outlineLevel="0" collapsed="false">
      <c r="A11" s="12" t="s">
        <v>229</v>
      </c>
      <c r="B11" s="12" t="n">
        <f aca="false">COUNTIF(Change_Log!I2:I5000,A11)</f>
        <v>0</v>
      </c>
      <c r="C11" s="12"/>
      <c r="D11" s="12"/>
      <c r="E11" s="12"/>
    </row>
    <row r="12" customFormat="false" ht="15" hidden="false" customHeight="true" outlineLevel="0" collapsed="false">
      <c r="A12" s="12" t="s">
        <v>88</v>
      </c>
      <c r="B12" s="12" t="n">
        <f aca="false">COUNTIF(Change_Log!I2:I5000,A12)</f>
        <v>4</v>
      </c>
      <c r="C12" s="12"/>
      <c r="D12" s="12"/>
      <c r="E12" s="12"/>
    </row>
    <row r="13" customFormat="false" ht="15" hidden="false" customHeight="true" outlineLevel="0" collapsed="false">
      <c r="A13" s="12" t="s">
        <v>230</v>
      </c>
      <c r="B13" s="12" t="n">
        <f aca="false">COUNTIF(Change_Log!I2:I5000,A13)</f>
        <v>0</v>
      </c>
      <c r="C13" s="12"/>
      <c r="D13" s="12"/>
      <c r="E13" s="12"/>
    </row>
    <row r="14" customFormat="false" ht="15" hidden="false" customHeight="true" outlineLevel="0" collapsed="false">
      <c r="A14" s="12" t="s">
        <v>92</v>
      </c>
      <c r="B14" s="12" t="n">
        <f aca="false">COUNTIF(Change_Log!I2:I5000,A14)</f>
        <v>2</v>
      </c>
      <c r="C14" s="12"/>
      <c r="D14" s="12"/>
      <c r="E14" s="12"/>
    </row>
    <row r="15" customFormat="false" ht="15" hidden="false" customHeight="true" outlineLevel="0" collapsed="false">
      <c r="A15" s="12" t="s">
        <v>231</v>
      </c>
      <c r="B15" s="12" t="n">
        <f aca="false">COUNTIF(Change_Log!I2:I5000,A15)</f>
        <v>0</v>
      </c>
      <c r="C15" s="12"/>
      <c r="D15" s="12"/>
      <c r="E15" s="12"/>
    </row>
    <row r="16" customFormat="false" ht="15" hidden="false" customHeight="true" outlineLevel="0" collapsed="false">
      <c r="A16" s="12" t="s">
        <v>61</v>
      </c>
      <c r="B16" s="12" t="n">
        <f aca="false">COUNTIF(Change_Log!I2:I5000,A16)</f>
        <v>4</v>
      </c>
      <c r="C16" s="12"/>
      <c r="D16" s="12"/>
      <c r="E16" s="12"/>
    </row>
    <row r="17" customFormat="false" ht="15" hidden="false" customHeight="true" outlineLevel="0" collapsed="false">
      <c r="A17" s="12" t="s">
        <v>128</v>
      </c>
      <c r="B17" s="12" t="n">
        <f aca="false">COUNTIF(Change_Log!I2:I5000,A17)</f>
        <v>1</v>
      </c>
      <c r="C17" s="12"/>
      <c r="D17" s="12"/>
      <c r="E17" s="12"/>
    </row>
    <row r="18" customFormat="false" ht="15" hidden="false" customHeight="true" outlineLevel="0" collapsed="false">
      <c r="A18" s="12"/>
      <c r="B18" s="12"/>
      <c r="C18" s="12"/>
      <c r="D18" s="12"/>
      <c r="E18" s="12"/>
    </row>
    <row r="19" customFormat="false" ht="15" hidden="false" customHeight="true" outlineLevel="0" collapsed="false">
      <c r="A19" s="13" t="s">
        <v>232</v>
      </c>
      <c r="B19" s="12"/>
      <c r="C19" s="12"/>
      <c r="D19" s="12"/>
      <c r="E19" s="12"/>
    </row>
    <row r="20" customFormat="false" ht="15" hidden="false" customHeight="true" outlineLevel="0" collapsed="false">
      <c r="A20" s="12" t="s">
        <v>52</v>
      </c>
      <c r="B20" s="12" t="n">
        <f aca="false">COUNTIF(Change_Log!S2:S5000,A20)</f>
        <v>19</v>
      </c>
      <c r="C20" s="12"/>
      <c r="D20" s="12"/>
      <c r="E20" s="12"/>
    </row>
    <row r="21" customFormat="false" ht="15" hidden="false" customHeight="true" outlineLevel="0" collapsed="false">
      <c r="A21" s="12" t="s">
        <v>145</v>
      </c>
      <c r="B21" s="12" t="n">
        <f aca="false">COUNTIF(Change_Log!S2:S5000,A21)</f>
        <v>0</v>
      </c>
      <c r="C21" s="12"/>
      <c r="D21" s="12"/>
      <c r="E21" s="12"/>
    </row>
    <row r="22" customFormat="false" ht="15" hidden="false" customHeight="true" outlineLevel="0" collapsed="false">
      <c r="A22" s="12" t="s">
        <v>233</v>
      </c>
      <c r="B22" s="12" t="n">
        <f aca="false">COUNTIF(Change_Log!S2:S5000,A22)</f>
        <v>0</v>
      </c>
      <c r="C22" s="12"/>
      <c r="D22" s="12"/>
      <c r="E22" s="12"/>
    </row>
    <row r="23" customFormat="false" ht="15" hidden="false" customHeight="true" outlineLevel="0" collapsed="false">
      <c r="A23" s="12" t="s">
        <v>234</v>
      </c>
      <c r="B23" s="12" t="n">
        <f aca="false">COUNTIF(Change_Log!S2:S5000,A23)</f>
        <v>0</v>
      </c>
      <c r="C23" s="12"/>
      <c r="D23" s="12"/>
      <c r="E23" s="12"/>
    </row>
    <row r="24" customFormat="false" ht="15" hidden="false" customHeight="true" outlineLevel="0" collapsed="false">
      <c r="A24" s="12" t="s">
        <v>153</v>
      </c>
      <c r="B24" s="12" t="n">
        <f aca="false">COUNTIF(Change_Log!S2:S5000,A24)</f>
        <v>0</v>
      </c>
      <c r="C24" s="12"/>
      <c r="D24" s="12"/>
      <c r="E24" s="12"/>
    </row>
    <row r="25" customFormat="false" ht="15" hidden="false" customHeight="true" outlineLevel="0" collapsed="false">
      <c r="A25" s="12"/>
      <c r="B25" s="12"/>
      <c r="C25" s="12"/>
      <c r="D25" s="12"/>
      <c r="E25" s="12"/>
    </row>
    <row r="26" customFormat="false" ht="15" hidden="false" customHeight="true" outlineLevel="0" collapsed="false">
      <c r="A26" s="13" t="s">
        <v>235</v>
      </c>
      <c r="B26" s="12"/>
      <c r="C26" s="12"/>
      <c r="D26" s="12"/>
      <c r="E26" s="12"/>
    </row>
    <row r="27" customFormat="false" ht="15" hidden="false" customHeight="true" outlineLevel="0" collapsed="false">
      <c r="A27" s="12" t="s">
        <v>51</v>
      </c>
      <c r="B27" s="12" t="n">
        <f aca="false">COUNTIF(Change_Log!R2:R5000,A27)</f>
        <v>19</v>
      </c>
      <c r="C27" s="12"/>
      <c r="D27" s="12"/>
      <c r="E27" s="12"/>
    </row>
    <row r="28" customFormat="false" ht="15" hidden="false" customHeight="true" outlineLevel="0" collapsed="false">
      <c r="A28" s="12" t="s">
        <v>147</v>
      </c>
      <c r="B28" s="12" t="n">
        <f aca="false">COUNTIF(Change_Log!R2:R5000,A28)</f>
        <v>0</v>
      </c>
      <c r="C28" s="12"/>
      <c r="D28" s="12"/>
      <c r="E28" s="12"/>
    </row>
    <row r="29" customFormat="false" ht="15" hidden="false" customHeight="true" outlineLevel="0" collapsed="false">
      <c r="A29" s="12" t="s">
        <v>139</v>
      </c>
      <c r="B29" s="12" t="n">
        <f aca="false">COUNTIF(Change_Log!R2:R5000,A29)</f>
        <v>0</v>
      </c>
      <c r="C29" s="12"/>
      <c r="D29" s="12"/>
      <c r="E29" s="12"/>
    </row>
    <row r="30" customFormat="false" ht="15" hidden="false" customHeight="true" outlineLevel="0" collapsed="false">
      <c r="A30" s="12" t="s">
        <v>236</v>
      </c>
      <c r="B30" s="12" t="n">
        <f aca="false">COUNTIF(Change_Log!R2:R5000,A30)</f>
        <v>0</v>
      </c>
      <c r="C30" s="12"/>
      <c r="D30" s="12"/>
      <c r="E30" s="12"/>
    </row>
    <row r="31" customFormat="false" ht="15" hidden="false" customHeight="true" outlineLevel="0" collapsed="false">
      <c r="A31" s="12" t="s">
        <v>237</v>
      </c>
      <c r="B31" s="12" t="n">
        <f aca="false">COUNTIF(Change_Log!R2:R5000,A31)</f>
        <v>0</v>
      </c>
      <c r="C31" s="12"/>
      <c r="D31" s="12"/>
      <c r="E31"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2026-09-22T04:47:32Z</dcterms:created>
  <dc:creator>openpyxl</dc:creator>
  <dc:description/>
  <dc:language>en-US</dc:language>
  <cp:lastModifiedBy/>
  <dcterms:modified xsi:type="dcterms:W3CDTF">2026-09-24T03:58:54Z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