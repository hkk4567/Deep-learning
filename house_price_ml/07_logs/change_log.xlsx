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<sst xmlns="http://schemas.openxmlformats.org/spreadsheetml/2006/main" count="1510" uniqueCount="649">
  <si>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</si>
  <si>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</si>
  <si>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</si>
  <si>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</si>
  <si>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</si>
  <si>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</si>
  <si>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</si>
  <si>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</si>
  <si>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</si>
  <si>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</si>
  <si>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</si>
  <si>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</si>
  <si>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</si>
  <si>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</si>
  <si>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</si>
  <si>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</si>
  <si>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</si>
  <si>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</si>
  <si>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</si>
  <si>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</si>
  <si>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</si>
  <si>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</si>
  <si>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</si>
  <si>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</si>
  <si>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</si>
  <si>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</si>
  <si>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</si>
  <si>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</si>
  <si>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</si>
  <si>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</si>
  <si>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</si>
  <si>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</si>
  <si>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</si>
  <si>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</si>
  <si>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</si>
  <si>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</si>
  <si>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</si>
  <si>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</si>
  <si>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</si>
  <si>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</si>
  <si>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</si>
  <si>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</si>
  <si>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</si>
  <si>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</si>
  <si>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</si>
  <si>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</si>
  <si>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</si>
  <si>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</si>
  <si>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</si>
  <si>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</si>
  <si>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</si>
  <si>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</si>
  <si>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</si>
  <si>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</si>
  <si>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</si>
  <si>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</si>
  <si>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</si>
  <si>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</si>
  <si>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</si>
  <si>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</si>
  <si>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</si>
  <si>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</si>
  <si>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</si>
  <si>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</si>
  <si>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</si>
  <si>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</si>
  <si>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</si>
  <si>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</si>
  <si>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</si>
  <si>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</si>
  <si>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</si>
  <si>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</si>
  <si>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</si>
  <si>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</si>
  <si>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</si>
  <si>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</si>
  <si>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</si>
  <si>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</si>
  <si>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</si>
  <si>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</si>
  <si>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</si>
  <si>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</si>
  <si>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</si>
  <si>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</si>
  <si>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</si>
  <si>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</si>
  <si>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</si>
  <si>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</si>
  <si>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</si>
  <si>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</si>
  <si>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</si>
  <si>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</si>
  <si>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</si>
  <si>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</si>
  <si>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</si>
  <si>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</si>
  <si>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</si>
  <si>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</si>
  <si>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</si>
  <si>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</si>
  <si>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</si>
  <si>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</si>
  <si>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</si>
  <si>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</si>
  <si>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</si>
  <si>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</si>
  <si>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</si>
  <si>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</si>
  <si>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</si>
  <si>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</si>
  <si>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</si>
  <si>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</si>
  <si>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</si>
  <si>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</si>
  <si>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</si>
  <si>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</si>
  <si>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</si>
  <si>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</si>
  <si>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</si>
  <si>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</si>
  <si>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</si>
  <si>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</si>
  <si>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</si>
  <si>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</si>
  <si>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</si>
  <si>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</si>
  <si>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</si>
  <si>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</si>
  <si>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</si>
  <si>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</si>
  <si>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</si>
  <si>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</si>
  <si>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</si>
  <si>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</si>
  <si>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</si>
  <si>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</si>
  <si>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</si>
  <si>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</si>
  <si>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</si>
  <si>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</si>
  <si>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</si>
  <si>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</si>
  <si>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</si>
  <si>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</si>
  <si>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</si>
  <si>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</si>
  <si>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</si>
  <si>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</si>
  <si>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</si>
  <si>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</si>
  <si>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</si>
  <si>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</si>
  <si>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</si>
  <si>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</si>
  <si>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</si>
  <si>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</si>
  <si>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</si>
  <si>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</si>
  <si>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</si>
  <si>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</si>
  <si>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</si>
  <si>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</si>
  <si>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</si>
  <si>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</si>
  <si>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</si>
  <si>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</si>
  <si>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</si>
  <si>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</si>
  <si>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</si>
  <si>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</si>
  <si>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</si>
  <si>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</si>
  <si>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</si>
  <si>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</si>
  <si>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</si>
  <si>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</si>
  <si>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</si>
  <si>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</si>
  <si>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</si>
  <si>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</si>
  <si>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</si>
  <si>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</si>
  <si>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</si>
  <si>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</si>
  <si>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</si>
  <si>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</si>
  <si>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</si>
  <si>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</si>
  <si>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</si>
  <si>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</si>
  <si>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</si>
  <si>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</si>
  <si>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</si>
  <si>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</si>
  <si>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</si>
  <si>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</si>
  <si>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</si>
  <si>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</si>
  <si>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</si>
  <si>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</si>
  <si>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</si>
  <si>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</si>
  <si>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</si>
  <si>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</si>
  <si>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</si>
  <si>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</si>
  <si>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</si>
  <si>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</si>
  <si>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</si>
  <si>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</si>
  <si>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</si>
  <si>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</si>
  <si>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</si>
  <si>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</si>
  <si>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</si>
  <si>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</si>
  <si>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</si>
  <si>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</si>
  <si>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</si>
  <si>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</si>
  <si>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</si>
  <si>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</si>
  <si>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</si>
  <si>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</si>
  <si>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</si>
  <si>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</si>
  <si>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</si>
  <si>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</si>
  <si>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</si>
  <si>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</si>
  <si>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</si>
  <si>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</si>
  <si>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</si>
  <si>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</si>
  <si>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</si>
  <si>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</si>
  <si>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</si>
  <si>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</si>
  <si>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</si>
  <si>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</si>
  <si>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</si>
  <si>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</si>
  <si>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</si>
  <si>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</si>
  <si>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</si>
  <si>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</si>
  <si>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</si>
  <si>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</si>
  <si>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</si>
  <si>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</si>
  <si>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</si>
  <si>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</si>
  <si>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</si>
  <si>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</si>
  <si>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</si>
  <si>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</si>
  <si>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</si>
  <si>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</si>
  <si>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</si>
  <si>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</si>
  <si>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</si>
  <si>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</si>
  <si>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LOG-0058</t>
  </si>
  <si>
    <t xml:space="preserve">P6 Baseline</t>
  </si>
  <si>
    <t xml:space="preserve">baseline.py</t>
  </si>
  <si>
    <t xml:space="preserve">03_src/scripts/p6_baseline/baseline.py</t>
  </si>
  <si>
    <t xml:space="preserve">Script baseline: (1) hằng số=trung bình train, (2) XGBoost cổ điển trên 205 đặc trưng đã tiền xử lý ở P5. Đánh giá bằng RMSLE trên val (test còn khóa).</t>
  </si>
  <si>
    <t xml:space="preserve">LOG-0059</t>
  </si>
  <si>
    <t xml:space="preserve">linear_regression_baseline.py</t>
  </si>
  <si>
    <t xml:space="preserve">03_src/scripts/p6_baseline/linear_regression_baseline.py</t>
  </si>
  <si>
    <t xml:space="preserve">Script Linear Regression (không regularization) trên 205 đặc trưng đã tiền xử lý, xuất bảng hệ số đầy đủ.</t>
  </si>
  <si>
    <t xml:space="preserve">LOG-0060</t>
  </si>
  <si>
    <t xml:space="preserve">ridge_baseline.py</t>
  </si>
  <si>
    <t xml:space="preserve">03_src/scripts/p6_baseline/ridge_baseline.py</t>
  </si>
  <si>
    <t xml:space="preserve">Script RidgeCV (L2, tự chọn alpha bằng CV trên train) để có bảng hệ số ổn định, đáng tin cậy hơn Linear Regression thường.</t>
  </si>
  <si>
    <t xml:space="preserve">LOG-0061</t>
  </si>
  <si>
    <t xml:space="preserve">P7 Môi trường/pipeline (bỏ qua có lý do)</t>
  </si>
  <si>
    <t xml:space="preserve">P7 theo SKILL.md là bước dành cho Deep Learning (kiểm tra torch/GPU, viet theo pytorch_skeleton.md, cong G4 overfit-1-batch). Du an nay da chot khong dung DL tu P0 nen P7 khong ap dung. Muc tieu tuong duong (dam bao pipeline chay dung) da duoc thoa man qua: P0 (moi truong da test chay), P5 (preprocess_tabular.py check = PASSED), P6 (4 baseline chay end-to-end thanh cong, khong loi).</t>
  </si>
  <si>
    <t xml:space="preserve">Tranh bo sot buoc ma khong giai thich; ghi ro ly do bo qua thay vi im lang</t>
  </si>
  <si>
    <t xml:space="preserve">LOG-0062</t>
  </si>
  <si>
    <t xml:space="preserve">P8 Vòng thí nghiệm</t>
  </si>
  <si>
    <t xml:space="preserve">exp005_xgb_tuning.py</t>
  </si>
  <si>
    <t xml:space="preserve">03_src/scripts/p8_thi_nghiem/exp005_xgb_tuning.py</t>
  </si>
  <si>
    <t xml:space="preserve">Script RandomizedSearchCV (60 iter, 5-fold CV trên train) tìm siêu tham số XGBoost tốt hơn.</t>
  </si>
  <si>
    <t xml:space="preserve">LOG-0063</t>
  </si>
  <si>
    <t xml:space="preserve">P9 Đánh giá cuối</t>
  </si>
  <si>
    <t xml:space="preserve">Chốt mô hình cuối cùng: Ridge Regression (alpha=30, EXP-0004), fit trên log1p(SalePrice), 205 đặc trưng sau P5. KHÔNG chọn Linear Regression (EXP-0003) dù RMSLE val nhỉnh hơn chút (0.1143 vs 0.1155) vì bảng hệ số của EXP-0003 không ổn định (bị vài mẫu hạng mục hiếm chi phối) - rủi ro suy rộng kém ra dữ liệu mới cao hơn. Ridge (co regularization, alpha chon bang CV tren train) an toan va dang tin cay hon. Vi Ridge la mo hinh tat dinh (khong co seed ngau nhien anh huong ket qua) nen thay vi chay &gt;=3 seed tren val nhu checklist goi y cho mo hinh ngau nhien, se dung Bootstrap CI (&gt;=1000 lan resample) tren val de uoc luong do on dinh cua RMSLE truoc khi mo test.</t>
  </si>
  <si>
    <t xml:space="preserve">Theo yêu cầu bắt buộc của cổng G7: phải chốt cấu hình và ghi DECISION TRƯỚC khi mở test lần đầu</t>
  </si>
  <si>
    <t xml:space="preserve">LOG-0064</t>
  </si>
  <si>
    <t xml:space="preserve">Sap mo test lan dau (Id trong 01_data/splits/split_v1.csv, split=='test', 219 dong, chua bao gio duoc doc/tinh metric tu truoc den nay trong du an nay).</t>
  </si>
  <si>
    <t xml:space="preserve">Ghi truoc khi mo, dung quy dinh cong G7: 'tu day khong ai mo/tinh metric tren test cho den G7'</t>
  </si>
  <si>
    <t xml:space="preserve">LOG-0065</t>
  </si>
  <si>
    <t xml:space="preserve">final_eval.py</t>
  </si>
  <si>
    <t xml:space="preserve">Chạy final_eval.py: (1) Bootstrap CI (1000 lần) trên val cho Ridge(alpha=30); (2) MỞ TEST, chạy đúng 1 lần.</t>
  </si>
  <si>
    <t xml:space="preserve">VAL: RMSLE=0.1155 (bootstrap mean=0.1148, 95% CI=[0.089, 0.145]). TEST (219 dòng, mở đúng 1 lần): RMSLE=0.1301 (bootstrap mean=0.1274, 95% CI=[0.099, 0.159]), MAE=$14,280, R2=0.943. Test kém hơn val một chút (0.1301 vs 0.1155) nhưng nằm trong khoảng CI chồng lấp - không có dấu hiệu overfit nghiêm trọng lên val qua nhiều thí nghiệm.</t>
  </si>
  <si>
    <t xml:space="preserve">LOG-0066</t>
  </si>
  <si>
    <t xml:space="preserve">03_src/scripts/p9_danh_gia_cuoi/final_eval.py</t>
  </si>
  <si>
    <t xml:space="preserve">Script đánh giá cuối: bootstrap CI trên val, mở test đúng 1 lần, lưu chi tiết dự đoán để phân tích lỗi.</t>
  </si>
  <si>
    <t xml:space="preserve">LOG-0067</t>
  </si>
  <si>
    <t xml:space="preserve">final_report.md</t>
  </si>
  <si>
    <t xml:space="preserve">06_reports/final_report.md</t>
  </si>
  <si>
    <t xml:space="preserve">Viết final_report.md theo template report_templates.md: tóm tắt, dữ liệu, EDA, tiền xử lý, bảng baseline/thí nghiệm, mô hình cuối + kết quả test (bootstrap CI), phân tích lỗi, hạn chế, cách chạy lại, nhật ký, bảng đã chạy thật vs chưa chạy.</t>
  </si>
  <si>
    <t xml:space="preserve">LOG-0068</t>
  </si>
  <si>
    <t xml:space="preserve">P10 Đóng gói</t>
  </si>
  <si>
    <t xml:space="preserve">save_final_model.py</t>
  </si>
  <si>
    <t xml:space="preserve">03_src/scripts/p10_dong_goi/save_final_model.py</t>
  </si>
  <si>
    <t xml:space="preserve">Lưu checkpoint mô hình cuối (Ridge alpha=30) thành final_model_ridge.joblib kèm metadata (config, seed, hash dữ liệu train, feature names).</t>
  </si>
  <si>
    <t xml:space="preserve">LOG-0069</t>
  </si>
  <si>
    <t xml:space="preserve">predict_from_raw.py</t>
  </si>
  <si>
    <t xml:space="preserve">03_src/scripts/p10_dong_goi/predict_from_raw.py</t>
  </si>
  <si>
    <t xml:space="preserve">Script suy luận độc lập: nhận CSV thô (schema 00_raw/train.csv), tự chạy select_features + encode_business_rules + preprocessor.joblib + final_model_ridge.joblib, ra SalePrice dự đoán.</t>
  </si>
  <si>
    <t xml:space="preserve">LOG-0070</t>
  </si>
  <si>
    <t xml:space="preserve">Kiểm chứng G8: (1) Chạy predict_from_raw.py trên 5 mẫu thô (Id=1,7,191,496,886) chưa qua pipeline train - kết quả khớp chính xác với số liệu đã có ở phân tích lỗi val P9. (2) Chạy lại TOÀN BỘ pipeline từ select_features -&gt; encode_business_rules -&gt; preprocess_tabular fit -&gt; Ridge, RMSLE val tái lập = 0.115459, khớp CHÍNH XÁC (dung sai 0, vì Ridge tất định) với báo cáo ở EXP-0004/final_report.md.</t>
  </si>
  <si>
    <t xml:space="preserve">LOG-0071</t>
  </si>
  <si>
    <t xml:space="preserve">model_card.md</t>
  </si>
  <si>
    <t xml:space="preserve">06_reports/model_card.md</t>
  </si>
  <si>
    <t xml:space="preserve">Viết model_card.md theo template: mục đích/ngoài phạm vi, dữ liệu, đặc trưng+tiền xử lý bắt buộc, metric, hạn chế, rủi ro, phiên bản/người chịu trách nhiệm.</t>
  </si>
  <si>
    <t xml:space="preserve">LOG-0072</t>
  </si>
  <si>
    <t xml:space="preserve">P11 Báo cáo và giao</t>
  </si>
  <si>
    <t xml:space="preserve">Chạy recalc.py xác nhận total_errors=0. Nén toàn bộ dự án (trừ 00_raw - người dùng đã có, 456KB) thành house_price_ml_FINAL.zip (3.5MB, bao gồm cả checkpoint 01_data/processed 2.3MB - không loại vì kích thước nhỏ). Chép riêng change_log.xlsx và final_report.md.</t>
  </si>
  <si>
    <t xml:space="preserve">LOG-0073</t>
  </si>
  <si>
    <t xml:space="preserve">Viết lại toàn bộ quy_trinh_chay_lai.md, bổ sung đầy đủ từ Bước 11 đến Bước 18 (trước đó chỉ có tới Bước 10/P5): baseline (XGBoost, Linear, Ridge), tuning XGBoost (P8), đánh giá cuối trên val rồi mở test (P9), lưu checkpoint và suy luận độc lập (P10). Tổng cộng 18 bước, khớp với mọi script trong 03_src/scripts/.</t>
  </si>
  <si>
    <t xml:space="preserve">LOG-0074</t>
  </si>
  <si>
    <t xml:space="preserve">S-20260927</t>
  </si>
  <si>
    <t xml:space="preserve">make_paper.js</t>
  </si>
  <si>
    <t xml:space="preserve">03_src/scripts/p10_dong_goi/make_paper.js</t>
  </si>
  <si>
    <t xml:space="preserve">Script docx-js tạo Paper_HouseSalePrice.docx (bài báo học thuật 4 trang: Tóm tắt, Giới thiệu, Đối tượng và phương pháp, Thí nghiệm và kết quả, Kết luận, Tài liệu tham khảo), theo mẫu định dạng người dùng cung cấp (titanic_demo.zip).</t>
  </si>
  <si>
    <t xml:space="preserve">LOG-0075</t>
  </si>
  <si>
    <t xml:space="preserve">poster.html</t>
  </si>
  <si>
    <t xml:space="preserve">06_reports/deliverables/poster.html</t>
  </si>
  <si>
    <t xml:space="preserve">Poster học thuật 1 trang (bố cục 3 cột, theo phong cách mẫu titanic_demo.zip), render PDF bằng wkhtmltopdf.</t>
  </si>
  <si>
    <t xml:space="preserve">LOG-0076</t>
  </si>
  <si>
    <t xml:space="preserve">make_slides.js</t>
  </si>
  <si>
    <t xml:space="preserve">03_src/scripts/p10_dong_goi/make_slides.js</t>
  </si>
  <si>
    <t xml:space="preserve">Script pptxgenjs tạo Slide_HouseSalePrice.pptx (11 slide: title, agenda, giới thiệu, dữ liệu, EDA, lựa chọn đặc trưng, tiền xử lý, mô hình, kết quả test, phân tích lỗi, kết luận). Đã validate PASSED.</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</si>
  <si>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</si>
  <si>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</si>
  <si>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</si>
  <si>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</si>
  <si>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</si>
  <si>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</si>
  <si>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</si>
  <si>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</si>
  <si>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</si>
  <si>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</si>
  <si>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</si>
  <si>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</si>
  <si>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</si>
  <si>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</si>
  <si>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 [Đã áp dụng ở P5 - encode_business_rules.py, LOG-0039]</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</si>
  <si>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</si>
  <si>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</si>
  <si>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</si>
  <si>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</si>
  <si>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</si>
  <si>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</si>
  <si>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</si>
  <si>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</si>
  <si>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</si>
  <si>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</si>
  <si>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</si>
  <si>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</si>
  <si>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</si>
  <si>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</si>
  <si>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</si>
  <si>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 [Đã áp dụng ở P5 - encode_business_rules.py, LOG-0039]</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</si>
  <si>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</si>
  <si>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</si>
  <si>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</si>
  <si>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</si>
  <si>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</si>
  <si>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</si>
  <si>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</si>
  <si>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FND-0006</t>
  </si>
  <si>
    <t xml:space="preserve">Phân tích lỗi</t>
  </si>
  <si>
    <t xml:space="preserve">05_experiments/exp0004_val_predictions.csv</t>
  </si>
  <si>
    <t xml:space="preserve">Phân tích lỗi trên VAL (không dùng test): 6/10 dòng có sai số tuyệt đối lớn nhất đều có SaleCondition khác 'Normal' (Abnorml: bán gấp/khó khăn tài chính; Partial: nhà mới xây bán trực tiếp). Case cực đoan: Id=496, SalePrice=$34,900 (rẻ nhất toàn dataset, SaleCondition=Abnorml, chỉ 720 sqft) bị dự đoán lệch 131%.</t>
  </si>
  <si>
    <t xml:space="preserve">05_experiments/exp0004_val_predictions.csv, đối chiếu Neighborhood/OverallQual/SaleCondition</t>
  </si>
  <si>
    <t xml:space="preserve">Hướng cải thiện tiềm năng cho vòng thí nghiệm sau: thêm interaction feature giữa SaleCondition và các đặc trưng chính, hoặc huấn luyện mô hình riêng/điều chỉnh cho phân khúc SaleCondition != Normal. Không sửa ngay vì test đã đóng, đây chỉ là ghi nhận cho báo cáo cuối.</t>
  </si>
  <si>
    <t xml:space="preserve">Open</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</si>
  <si>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</si>
  <si>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</si>
  <si>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</si>
  <si>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</si>
  <si>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</si>
  <si>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</si>
  <si>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</si>
  <si>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</si>
  <si>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</si>
  <si>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</si>
  <si>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</si>
  <si>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</si>
  <si>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</si>
  <si>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</si>
  <si>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</si>
  <si>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</si>
  <si>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</si>
  <si>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</si>
  <si>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</si>
  <si>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</si>
  <si>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</si>
  <si>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</si>
  <si>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</si>
  <si>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</si>
  <si>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</si>
  <si>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</si>
  <si>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</si>
  <si>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</si>
  <si>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</si>
  <si>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</si>
  <si>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</si>
  <si>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</si>
  <si>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</si>
  <si>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</si>
  <si>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</si>
  <si>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</si>
  <si>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</si>
  <si>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</si>
  <si>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</si>
  <si>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</si>
  <si>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</si>
  <si>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</si>
  <si>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</si>
  <si>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</si>
  <si>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</si>
  <si>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</si>
  <si>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</si>
  <si>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</si>
  <si>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</si>
  <si>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</si>
  <si>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</si>
  <si>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</si>
  <si>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</si>
  <si>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</si>
  <si>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</si>
  <si>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</si>
  <si>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</si>
  <si>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</si>
  <si>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</si>
  <si>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</si>
  <si>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</si>
  <si>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</si>
  <si>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</si>
  <si>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</si>
  <si>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</si>
  <si>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</si>
  <si>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</si>
  <si>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</si>
  <si>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</si>
  <si>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</si>
  <si>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</si>
  <si>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</si>
  <si>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</si>
  <si>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</si>
  <si>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</si>
  <si>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</si>
  <si>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</si>
  <si>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</si>
  <si>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</si>
  <si>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</si>
  <si>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</si>
  <si>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</si>
  <si>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</si>
  <si>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</si>
  <si>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</si>
  <si>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</si>
  <si>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</si>
  <si>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</si>
  <si>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</si>
  <si>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</si>
  <si>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</si>
  <si>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</si>
  <si>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</si>
  <si>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</si>
  <si>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</si>
  <si>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</si>
  <si>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</si>
  <si>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</si>
  <si>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</si>
  <si>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</si>
  <si>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</si>
  <si>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</si>
  <si>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</si>
  <si>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</si>
  <si>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</si>
  <si>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</si>
  <si>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</si>
  <si>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</si>
  <si>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</si>
  <si>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</si>
  <si>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</si>
  <si>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</si>
  <si>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</si>
  <si>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</si>
  <si>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</si>
  <si>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</si>
  <si>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</si>
  <si>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</si>
  <si>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</si>
  <si>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</si>
  <si>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</si>
  <si>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</si>
  <si>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</si>
  <si>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</si>
  <si>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</si>
  <si>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</si>
  <si>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</si>
  <si>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</si>
  <si>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</si>
  <si>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</si>
  <si>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</si>
  <si>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</si>
  <si>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</si>
  <si>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8dcfcb0aaaa552bd2e763d04289ed6dd19cd5337dee39c88d7ed8ecaf71416b7</t>
  </si>
  <si>
    <t xml:space="preserve">script baseline P6 (tầm thường + cổ điển)</t>
  </si>
  <si>
    <t xml:space="preserve">05_experiments/baseline_metrics.json</t>
  </si>
  <si>
    <t xml:space="preserve">1864cda1b390f885c3368c5259ac138c8401769ed118dfef06603b6bf35c55e1</t>
  </si>
  <si>
    <t xml:space="preserve">kết quả 2 baseline (RMSLE/MAE/R2 trên val)</t>
  </si>
  <si>
    <t xml:space="preserve">4b04bc299c4e61abff941534fe53e202450a2aa75fe26dfc4a70cb2a9bc71453</t>
  </si>
  <si>
    <t xml:space="preserve">script baseline Linear Regression (P6)</t>
  </si>
  <si>
    <t xml:space="preserve">05_experiments/linear_regression_coefficients.csv</t>
  </si>
  <si>
    <t xml:space="preserve">33d8616f4caea9d8fc5b4af31c5b9cc216e6ae5f8eeebb6c8cfd49858d0a61b0</t>
  </si>
  <si>
    <t xml:space="preserve">toàn bộ 205 hệ số của Linear Regression (trên log1p(SalePrice))</t>
  </si>
  <si>
    <t xml:space="preserve">05_experiments/linear_regression_metrics.json</t>
  </si>
  <si>
    <t xml:space="preserve">98ecc36ba94621e4f80ca496f0d2a8ced4ee5b662b18f8c97dd0f09545087271</t>
  </si>
  <si>
    <t xml:space="preserve">RMSLE/MAE/R2 của Linear Regression trên val</t>
  </si>
  <si>
    <t xml:space="preserve">cf275c8bd14766fb1928afbc2047e0c5232373f840beb92d98dec3d2dd5461e0</t>
  </si>
  <si>
    <t xml:space="preserve">script baseline Ridge Regression (P6)</t>
  </si>
  <si>
    <t xml:space="preserve">05_experiments/ridge_coefficients.csv</t>
  </si>
  <si>
    <t xml:space="preserve">208d89b42e2cbd25281e03a19754ce9263af1f0ec5c81770d245042253b006e1</t>
  </si>
  <si>
    <t xml:space="preserve">205 hệ số Ridge - đáng tin cậy để diễn giải, khác với bảng Linear Regression thường</t>
  </si>
  <si>
    <t xml:space="preserve">05_experiments/ridge_metrics.json</t>
  </si>
  <si>
    <t xml:space="preserve">841955be76777c4c974c9074a494fa88fb3341007d53682fa4f83cafadd1c047</t>
  </si>
  <si>
    <t xml:space="preserve">RMSLE/MAE/R2 của Ridge trên val</t>
  </si>
  <si>
    <t xml:space="preserve">d9a4d462554d30588e478d4ad58cf90be0da38b7eb02b7c6dfbc29c008db96cc</t>
  </si>
  <si>
    <t xml:space="preserve">script tuning XGBoost (P8, EXP-0005)</t>
  </si>
  <si>
    <t xml:space="preserve">05_experiments/exp005_xgb_tuning_metrics.json</t>
  </si>
  <si>
    <t xml:space="preserve">b136282c49c60f52d1ae231401a97f6e51ee060e2fc7fb6344e1e5a215e1bece</t>
  </si>
  <si>
    <t xml:space="preserve">kết quả + siêu tham số tốt nhất của EXP-0005</t>
  </si>
  <si>
    <t xml:space="preserve">4ab42211b8435e387ccb43c858c9cb9e37624aff380883bb14f8f38dde1473a6</t>
  </si>
  <si>
    <t xml:space="preserve">script đánh giá cuối (P9)</t>
  </si>
  <si>
    <t xml:space="preserve">05_experiments/exp0004_val_bootstrap.json</t>
  </si>
  <si>
    <t xml:space="preserve">dd413655d233383c7178e90b49c19978f4d57aab7ee854c9594876c69a84471d</t>
  </si>
  <si>
    <t xml:space="preserve">bootstrap CI trên val</t>
  </si>
  <si>
    <t xml:space="preserve">05_experiments/exp0004_test_FINAL.json</t>
  </si>
  <si>
    <t xml:space="preserve">263908f2967933ec87ef43a0c5741cecccbc416a5a87d96e0b9dfaf6063ca812</t>
  </si>
  <si>
    <t xml:space="preserve">KẾT QUẢ CUỐI trên test (mở đúng 1 lần)</t>
  </si>
  <si>
    <t xml:space="preserve">05_experiments/exp0004_test_predictions.csv</t>
  </si>
  <si>
    <t xml:space="preserve">686922406e56e11bab0eb36782830bc850ddf619b775937aef202ce57fed56cc</t>
  </si>
  <si>
    <t xml:space="preserve">chi tiết dự đoán trên test</t>
  </si>
  <si>
    <t xml:space="preserve">d5195e77deb345a21aa3fa15b798d8c8a01564f0801f673cfd8fcb033d281fe9</t>
  </si>
  <si>
    <t xml:space="preserve">chi tiết dự đoán trên val, dùng để phân tích lỗi</t>
  </si>
  <si>
    <t xml:space="preserve">4e96085477708d5ae3c7f0bb03792a4de3a9eb21df3f0f08563211d5c2219849</t>
  </si>
  <si>
    <t xml:space="preserve">báo cáo cuối dự án (P9-P11)</t>
  </si>
  <si>
    <t xml:space="preserve">849476c69083f4750c098e9f0a6c16b4bfb1554d346329ee8872a0856be9b1ee</t>
  </si>
  <si>
    <t xml:space="preserve">script lưu checkpoint mô hình cuối</t>
  </si>
  <si>
    <t xml:space="preserve">a8f2688ebc2683f07457782cc411beee201d215bd1d69050177839b3537b24ce</t>
  </si>
  <si>
    <t xml:space="preserve">script suy luận độc lập trên dữ liệu thô (P10)</t>
  </si>
  <si>
    <t xml:space="preserve">01_data/processed/final_model_ridge.joblib</t>
  </si>
  <si>
    <t xml:space="preserve">cd4d2f74cc21b79c8f35b255ef3ba68e28da44e5b529545edb4bf0b057dd372d</t>
  </si>
  <si>
    <t xml:space="preserve">checkpoint mô hình cuối (Ridge alpha=30)</t>
  </si>
  <si>
    <t xml:space="preserve">01_data/processed/final_model_meta.json</t>
  </si>
  <si>
    <t xml:space="preserve">bc1455beab6220bb21a2cc43b97e65e54a9288c13eef68e0afe76bc646a91bd6</t>
  </si>
  <si>
    <t xml:space="preserve">metadata checkpoint: config, seed, hash dữ liệu</t>
  </si>
  <si>
    <t xml:space="preserve">93e95ca56bd0db1295d65db1318c444c1e65ef1be8bfd0cbf74cefa59c82adba</t>
  </si>
  <si>
    <t xml:space="preserve">model card</t>
  </si>
  <si>
    <t xml:space="preserve">06_reports/deliverables/Paper_HouseSalePrice.docx</t>
  </si>
  <si>
    <t xml:space="preserve">docx</t>
  </si>
  <si>
    <t xml:space="preserve">34cfed6dff5793c0def996744d82f3f0621b00473ae69094cf97b24994ebbc0c</t>
  </si>
  <si>
    <t xml:space="preserve">Paper học thuật (docx)</t>
  </si>
  <si>
    <t xml:space="preserve">06_reports/deliverables/Paper_HouseSalePrice.pdf</t>
  </si>
  <si>
    <t xml:space="preserve">pdf</t>
  </si>
  <si>
    <t xml:space="preserve">a45e5b7fac323d932eb60e900e7a00cea3c1751dbef4b829ebf16064921deb07</t>
  </si>
  <si>
    <t xml:space="preserve">Paper học thuật (PDF)</t>
  </si>
  <si>
    <t xml:space="preserve">06_reports/deliverables/Poster_HouseSalePrice.pdf</t>
  </si>
  <si>
    <t xml:space="preserve">5a750bf6038a5a8399c84de49fc402ec8648bc25f76fa0070641185e633ee3c8</t>
  </si>
  <si>
    <t xml:space="preserve">Poster học thuật 1 trang (PDF)</t>
  </si>
  <si>
    <t xml:space="preserve">06_reports/deliverables/Slide_HouseSalePrice.pptx</t>
  </si>
  <si>
    <t xml:space="preserve">pptx</t>
  </si>
  <si>
    <t xml:space="preserve">f3813148c6471d0e6f43a3f10fdf64024f4c1e0f21bd6b83a5bcc4a9f5ec356c</t>
  </si>
  <si>
    <t xml:space="preserve">Slide thuyết trình (11 slide, PowerPoint)</t>
  </si>
  <si>
    <t xml:space="preserve">js</t>
  </si>
  <si>
    <t xml:space="preserve">0947acc26654a421ce835b5b1ade9cc895b54d76ff7eb0e073769588cc347e17</t>
  </si>
  <si>
    <t xml:space="preserve">script sinh Paper (docx-js)</t>
  </si>
  <si>
    <t xml:space="preserve">adde390948c167894835b27a1b588a490a2d4c24708d6d4929ebe6537ea8b93e</t>
  </si>
  <si>
    <t xml:space="preserve">script sinh Slide (pptxgenjs)</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</si>
  <si>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</si>
  <si>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</si>
  <si>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</si>
  <si>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</si>
  <si>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</si>
  <si>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</si>
  <si>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</si>
  <si>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</si>
  <si>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</si>
  <si>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</si>
  <si>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</si>
  <si>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</si>
  <si>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</si>
  <si>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</si>
  <si>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</si>
  <si>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</si>
  <si>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</si>
  <si>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</si>
  <si>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</si>
  <si>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</si>
  <si>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</si>
  <si>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</si>
  <si>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</si>
  <si>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</si>
  <si>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EXP-0001</t>
  </si>
  <si>
    <t xml:space="preserve">Baseline tam thuong (G3) - moc san de so sanh moi mo hinh sau nay</t>
  </si>
  <si>
    <t xml:space="preserve">constant_mean</t>
  </si>
  <si>
    <t xml:space="preserve">split_v1_prepped (sau P5)</t>
  </si>
  <si>
    <t xml:space="preserve">RMSLE</t>
  </si>
  <si>
    <t xml:space="preserve">Du doan hang so = trung binh SalePrice(train)=180921. MAE=58299, R2=-0.007 (gan 0, dung nghia la khong giai thich duoc gi). Day la san duoi cung, moi mo hinh phai vuot xa con so nay.</t>
  </si>
  <si>
    <t xml:space="preserve">EXP-0002</t>
  </si>
  <si>
    <t xml:space="preserve">Baseline co dien (G3) - XGBoost tren 205 dac trung da tien xu ly</t>
  </si>
  <si>
    <t xml:space="preserve">XGBRegressor(n_estimators=500, lr=0.05, max_depth=4, subsample=0.8, colsample_bytree=0.8)</t>
  </si>
  <si>
    <t xml:space="preserve">split_v1_prepped (sau P5), fit tren log1p(SalePrice)</t>
  </si>
  <si>
    <t xml:space="preserve">RMSLE=0.1267 (val), MAE=15637, R2=0.910. Vuot baseline tam thuong rat xa (RMSLE giam tu 0.406 xuong 0.127, R2 tu -0.007 len 0.910). Xac nhan huong ML (khong DL) la hop ly cho du lieu bang nay, dung theo nguyen tac 8 cua skill.</t>
  </si>
  <si>
    <t xml:space="preserve">EXP-0003</t>
  </si>
  <si>
    <t xml:space="preserve">Baseline bo sung theo yeu cau nguoi dung: Linear Regression de tinh tham so/he so tung dac trung</t>
  </si>
  <si>
    <t xml:space="preserve">LinearRegression (scikit-learn, khong regularization)</t>
  </si>
  <si>
    <t xml:space="preserve">RMSLE=0.1143, MAE=13322, R2=0.948 - tot hon ca XGBoost baseline (EXP-0002: RMSLE=0.1267). CANH BAO khi doc he so: 15/15 he so lon nhat deu la cac cot one-hot cua muc hang muc HIEM (vd Condition2_RRAe, Exterior1st_BrkComm - chi vai mau), day la dau hieu phuong sai he so cao do qua it quan sat, KHONG phai bang chung do quan trong thuc su. Can dung Ridge/Lasso (co regularization) neu muon doc he so on dinh, dang tin cay hon.</t>
  </si>
  <si>
    <t xml:space="preserve">EXP-0004</t>
  </si>
  <si>
    <t xml:space="preserve">Ridge Regression (L2) de co bang he so on dinh, dang tin cay hon Linear Regression thuong (EXP-0003)</t>
  </si>
  <si>
    <t xml:space="preserve">RidgeCV(alphas=[0.1..1000], cv=5, chon alpha bang CV tren TRAIN)</t>
  </si>
  <si>
    <t xml:space="preserve">Test RMSLE=0.1301 (MAE=$14280, R2=0.943, bootstrap 95% CI=[0.099,0.159], n=219). Mo test dung 1 lan, xem LOG-0064 (DECISION mo test) va LOG-0065 (RUN).</t>
  </si>
  <si>
    <t xml:space="preserve">EXP-0005</t>
  </si>
  <si>
    <t xml:space="preserve">P8, gia thuyet: tinh chinh sieu tham so XGBoost bang RandomizedSearchCV (5-fold CV tren TRAIN) se cai thien so voi XGBoost mac dinh EXP-0002</t>
  </si>
  <si>
    <t xml:space="preserve">XGBRegressor (best params tu RandomizedSearchCV, 60 iter): max_depth=2, n_estimators=1200, lr=0.03, subsample=0.7, colsample_bytree=1.0, reg_alpha=0.1, reg_lambda=1.5, min_child_weight=2</t>
  </si>
  <si>
    <t xml:space="preserve">Cai thien so voi XGBoost mac dinh (EXP-0002: 0.1267 -&gt; 0.1245, giam nhe). Nhung VAN KEM HON Ridge (EXP-0004: 0.1155) va Linear Regression (EXP-0003: 0.1143). Dieu nay cung co gia thuyet: voi 205 dac trung da duoc feature-engineer tot (one-hot + ordinal), quan he voi log(SalePrice) chu yeu la TUYEN TINH, nen mo hinh tuyen tinh co regularization dang thang the hon cay quyet dinh o quy mo du lieu nho (1020 dong). Gia thuyet tiep theo dang can nhac: stacking Ridge+XGBoost, hoac feature engineering them (interaction terms).</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</si>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</sst>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25" hidden="false" customHeight="tru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5.75" hidden="false" customHeight="tru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row r="59" customFormat="false" ht="34.5" hidden="false" customHeight="true" outlineLevel="0" collapsed="false">
      <c r="A59" s="9" t="s">
        <v>262</v>
      </c>
      <c r="B59" s="10" t="n">
        <v>46291</v>
      </c>
      <c r="C59" s="11" t="n">
        <v>0.445081018518519</v>
      </c>
      <c r="D59" s="9" t="s">
        <v>40</v>
      </c>
      <c r="E59" s="9" t="s">
        <v>202</v>
      </c>
      <c r="F59" s="9" t="s">
        <v>42</v>
      </c>
      <c r="G59" s="9" t="s">
        <v>43</v>
      </c>
      <c r="H59" s="9" t="s">
        <v>83</v>
      </c>
      <c r="I59" s="9" t="s">
        <v>45</v>
      </c>
      <c r="J59" s="9" t="s">
        <v>263</v>
      </c>
      <c r="K59" s="9" t="s">
        <v>264</v>
      </c>
      <c r="L59" s="9" t="s">
        <v>265</v>
      </c>
      <c r="M59" s="9"/>
      <c r="N59" s="9" t="s">
        <v>266</v>
      </c>
      <c r="O59" s="9"/>
      <c r="P59" s="9"/>
      <c r="Q59" s="9"/>
      <c r="R59" s="9" t="s">
        <v>51</v>
      </c>
      <c r="S59" s="9" t="s">
        <v>52</v>
      </c>
      <c r="T59" s="9"/>
      <c r="U59" s="9"/>
      <c r="V59" s="9"/>
      <c r="W59" s="9"/>
      <c r="X59" s="9"/>
    </row>
    <row r="60" customFormat="false" ht="23.25" hidden="false" customHeight="true" outlineLevel="0" collapsed="false">
      <c r="A60" s="9" t="s">
        <v>267</v>
      </c>
      <c r="B60" s="10" t="n">
        <v>46291</v>
      </c>
      <c r="C60" s="11" t="n">
        <v>0.449895833333333</v>
      </c>
      <c r="D60" s="9" t="s">
        <v>40</v>
      </c>
      <c r="E60" s="9" t="s">
        <v>202</v>
      </c>
      <c r="F60" s="9" t="s">
        <v>42</v>
      </c>
      <c r="G60" s="9" t="s">
        <v>43</v>
      </c>
      <c r="H60" s="9" t="s">
        <v>83</v>
      </c>
      <c r="I60" s="9" t="s">
        <v>45</v>
      </c>
      <c r="J60" s="9" t="s">
        <v>263</v>
      </c>
      <c r="K60" s="9" t="s">
        <v>268</v>
      </c>
      <c r="L60" s="9" t="s">
        <v>269</v>
      </c>
      <c r="M60" s="9"/>
      <c r="N60" s="9" t="s">
        <v>270</v>
      </c>
      <c r="O60" s="9"/>
      <c r="P60" s="9"/>
      <c r="Q60" s="9"/>
      <c r="R60" s="9" t="s">
        <v>51</v>
      </c>
      <c r="S60" s="9" t="s">
        <v>52</v>
      </c>
      <c r="T60" s="9"/>
      <c r="U60" s="9"/>
      <c r="V60" s="9"/>
      <c r="W60" s="9"/>
      <c r="X60" s="9"/>
    </row>
    <row r="61" customFormat="false" ht="23.25" hidden="false" customHeight="true" outlineLevel="0" collapsed="false">
      <c r="A61" s="9" t="s">
        <v>271</v>
      </c>
      <c r="B61" s="10" t="n">
        <v>46291</v>
      </c>
      <c r="C61" s="11" t="n">
        <v>0.620289351851852</v>
      </c>
      <c r="D61" s="9" t="s">
        <v>40</v>
      </c>
      <c r="E61" s="9" t="s">
        <v>202</v>
      </c>
      <c r="F61" s="9" t="s">
        <v>42</v>
      </c>
      <c r="G61" s="9" t="s">
        <v>43</v>
      </c>
      <c r="H61" s="9" t="s">
        <v>83</v>
      </c>
      <c r="I61" s="9" t="s">
        <v>45</v>
      </c>
      <c r="J61" s="9" t="s">
        <v>263</v>
      </c>
      <c r="K61" s="9" t="s">
        <v>272</v>
      </c>
      <c r="L61" s="9" t="s">
        <v>273</v>
      </c>
      <c r="M61" s="9"/>
      <c r="N61" s="9" t="s">
        <v>274</v>
      </c>
      <c r="O61" s="9"/>
      <c r="P61" s="9"/>
      <c r="Q61" s="9"/>
      <c r="R61" s="9" t="s">
        <v>51</v>
      </c>
      <c r="S61" s="9" t="s">
        <v>52</v>
      </c>
      <c r="T61" s="9"/>
      <c r="U61" s="9"/>
      <c r="V61" s="9"/>
      <c r="W61" s="9"/>
      <c r="X61" s="9"/>
    </row>
    <row r="62" customFormat="false" ht="68.25" hidden="false" customHeight="true" outlineLevel="0" collapsed="false">
      <c r="A62" s="9" t="s">
        <v>275</v>
      </c>
      <c r="B62" s="10" t="n">
        <v>46291</v>
      </c>
      <c r="C62" s="11" t="n">
        <v>0.628275462962963</v>
      </c>
      <c r="D62" s="9" t="s">
        <v>40</v>
      </c>
      <c r="E62" s="9" t="s">
        <v>202</v>
      </c>
      <c r="F62" s="9" t="s">
        <v>42</v>
      </c>
      <c r="G62" s="9" t="s">
        <v>43</v>
      </c>
      <c r="H62" s="9" t="s">
        <v>83</v>
      </c>
      <c r="I62" s="9" t="s">
        <v>128</v>
      </c>
      <c r="J62" s="9" t="s">
        <v>276</v>
      </c>
      <c r="K62" s="9"/>
      <c r="L62" s="9"/>
      <c r="M62" s="9"/>
      <c r="N62" s="9" t="s">
        <v>277</v>
      </c>
      <c r="O62" s="9" t="s">
        <v>278</v>
      </c>
      <c r="P62" s="9"/>
      <c r="Q62" s="9"/>
      <c r="R62" s="9" t="s">
        <v>51</v>
      </c>
      <c r="S62" s="9" t="s">
        <v>52</v>
      </c>
      <c r="T62" s="9"/>
      <c r="U62" s="9"/>
      <c r="V62" s="9"/>
      <c r="W62" s="9"/>
      <c r="X62" s="9"/>
    </row>
    <row r="63" customFormat="false" ht="23.25" hidden="false" customHeight="true" outlineLevel="0" collapsed="false">
      <c r="A63" s="9" t="s">
        <v>279</v>
      </c>
      <c r="B63" s="10" t="n">
        <v>46291</v>
      </c>
      <c r="C63" s="11" t="n">
        <v>0.631400462962963</v>
      </c>
      <c r="D63" s="9" t="s">
        <v>40</v>
      </c>
      <c r="E63" s="9" t="s">
        <v>202</v>
      </c>
      <c r="F63" s="9" t="s">
        <v>42</v>
      </c>
      <c r="G63" s="9" t="s">
        <v>43</v>
      </c>
      <c r="H63" s="9" t="s">
        <v>83</v>
      </c>
      <c r="I63" s="9" t="s">
        <v>45</v>
      </c>
      <c r="J63" s="9" t="s">
        <v>280</v>
      </c>
      <c r="K63" s="9" t="s">
        <v>281</v>
      </c>
      <c r="L63" s="9" t="s">
        <v>282</v>
      </c>
      <c r="M63" s="9"/>
      <c r="N63" s="9" t="s">
        <v>283</v>
      </c>
      <c r="O63" s="9"/>
      <c r="P63" s="9"/>
      <c r="Q63" s="9"/>
      <c r="R63" s="9" t="s">
        <v>51</v>
      </c>
      <c r="S63" s="9" t="s">
        <v>52</v>
      </c>
      <c r="T63" s="9"/>
      <c r="U63" s="9"/>
      <c r="V63" s="9"/>
      <c r="W63" s="9"/>
      <c r="X63" s="9"/>
    </row>
    <row r="64" customFormat="false" ht="113.25" hidden="false" customHeight="true" outlineLevel="0" collapsed="false">
      <c r="A64" s="9" t="s">
        <v>284</v>
      </c>
      <c r="B64" s="10" t="n">
        <v>46291</v>
      </c>
      <c r="C64" s="11" t="n">
        <v>0.63837962962963</v>
      </c>
      <c r="D64" s="9" t="s">
        <v>40</v>
      </c>
      <c r="E64" s="9" t="s">
        <v>202</v>
      </c>
      <c r="F64" s="9" t="s">
        <v>42</v>
      </c>
      <c r="G64" s="9" t="s">
        <v>43</v>
      </c>
      <c r="H64" s="9" t="s">
        <v>83</v>
      </c>
      <c r="I64" s="9" t="s">
        <v>61</v>
      </c>
      <c r="J64" s="9" t="s">
        <v>285</v>
      </c>
      <c r="K64" s="9"/>
      <c r="L64" s="9"/>
      <c r="M64" s="9"/>
      <c r="N64" s="9" t="s">
        <v>286</v>
      </c>
      <c r="O64" s="9" t="s">
        <v>287</v>
      </c>
      <c r="P64" s="9"/>
      <c r="Q64" s="9"/>
      <c r="R64" s="9" t="s">
        <v>51</v>
      </c>
      <c r="S64" s="9" t="s">
        <v>52</v>
      </c>
      <c r="T64" s="9"/>
      <c r="U64" s="9"/>
      <c r="V64" s="9"/>
      <c r="W64" s="9"/>
      <c r="X64" s="9"/>
    </row>
    <row r="65" customFormat="false" ht="34.5" hidden="false" customHeight="true" outlineLevel="0" collapsed="false">
      <c r="A65" s="9" t="s">
        <v>288</v>
      </c>
      <c r="B65" s="10" t="n">
        <v>46291</v>
      </c>
      <c r="C65" s="11" t="n">
        <v>0.63837962962963</v>
      </c>
      <c r="D65" s="9" t="s">
        <v>40</v>
      </c>
      <c r="E65" s="9" t="s">
        <v>202</v>
      </c>
      <c r="F65" s="9" t="s">
        <v>42</v>
      </c>
      <c r="G65" s="9" t="s">
        <v>43</v>
      </c>
      <c r="H65" s="9" t="s">
        <v>83</v>
      </c>
      <c r="I65" s="9" t="s">
        <v>61</v>
      </c>
      <c r="J65" s="9" t="s">
        <v>285</v>
      </c>
      <c r="K65" s="9"/>
      <c r="L65" s="9"/>
      <c r="M65" s="9"/>
      <c r="N65" s="9" t="s">
        <v>289</v>
      </c>
      <c r="O65" s="9" t="s">
        <v>290</v>
      </c>
      <c r="P65" s="9"/>
      <c r="Q65" s="9"/>
      <c r="R65" s="9" t="s">
        <v>51</v>
      </c>
      <c r="S65" s="9" t="s">
        <v>52</v>
      </c>
      <c r="T65" s="9"/>
      <c r="U65" s="9"/>
      <c r="V65" s="9"/>
      <c r="W65" s="9"/>
      <c r="X65" s="9"/>
    </row>
    <row r="66" customFormat="false" ht="113.25" hidden="false" customHeight="true" outlineLevel="0" collapsed="false">
      <c r="A66" s="9" t="s">
        <v>291</v>
      </c>
      <c r="B66" s="10" t="n">
        <v>46291</v>
      </c>
      <c r="C66" s="11" t="n">
        <v>0.639155092592593</v>
      </c>
      <c r="D66" s="9" t="s">
        <v>40</v>
      </c>
      <c r="E66" s="9" t="s">
        <v>202</v>
      </c>
      <c r="F66" s="9" t="s">
        <v>42</v>
      </c>
      <c r="G66" s="9" t="s">
        <v>43</v>
      </c>
      <c r="H66" s="9" t="s">
        <v>83</v>
      </c>
      <c r="I66" s="9" t="s">
        <v>92</v>
      </c>
      <c r="J66" s="9" t="s">
        <v>285</v>
      </c>
      <c r="K66" s="9" t="s">
        <v>292</v>
      </c>
      <c r="L66" s="9"/>
      <c r="M66" s="9"/>
      <c r="N66" s="9" t="s">
        <v>293</v>
      </c>
      <c r="O66" s="9"/>
      <c r="P66" s="9"/>
      <c r="Q66" s="9"/>
      <c r="R66" s="9" t="s">
        <v>51</v>
      </c>
      <c r="S66" s="9" t="s">
        <v>52</v>
      </c>
      <c r="T66" s="9"/>
      <c r="U66" s="9"/>
      <c r="V66" s="9"/>
      <c r="W66" s="9"/>
      <c r="X66" s="9" t="s">
        <v>294</v>
      </c>
    </row>
    <row r="67" customFormat="false" ht="23.25" hidden="false" customHeight="true" outlineLevel="0" collapsed="false">
      <c r="A67" s="9" t="s">
        <v>295</v>
      </c>
      <c r="B67" s="10" t="n">
        <v>46291</v>
      </c>
      <c r="C67" s="11" t="n">
        <v>0.639166666666667</v>
      </c>
      <c r="D67" s="9" t="s">
        <v>40</v>
      </c>
      <c r="E67" s="9" t="s">
        <v>202</v>
      </c>
      <c r="F67" s="9" t="s">
        <v>42</v>
      </c>
      <c r="G67" s="9" t="s">
        <v>43</v>
      </c>
      <c r="H67" s="9" t="s">
        <v>83</v>
      </c>
      <c r="I67" s="9" t="s">
        <v>45</v>
      </c>
      <c r="J67" s="9" t="s">
        <v>285</v>
      </c>
      <c r="K67" s="9" t="s">
        <v>292</v>
      </c>
      <c r="L67" s="9" t="s">
        <v>296</v>
      </c>
      <c r="M67" s="9"/>
      <c r="N67" s="9" t="s">
        <v>297</v>
      </c>
      <c r="O67" s="9"/>
      <c r="P67" s="9"/>
      <c r="Q67" s="9"/>
      <c r="R67" s="9" t="s">
        <v>51</v>
      </c>
      <c r="S67" s="9" t="s">
        <v>52</v>
      </c>
      <c r="T67" s="9"/>
      <c r="U67" s="9"/>
      <c r="V67" s="9"/>
      <c r="W67" s="9"/>
      <c r="X67" s="9"/>
    </row>
    <row r="68" customFormat="false" ht="45.75" hidden="false" customHeight="true" outlineLevel="0" collapsed="false">
      <c r="A68" s="9" t="s">
        <v>298</v>
      </c>
      <c r="B68" s="10" t="n">
        <v>46291</v>
      </c>
      <c r="C68" s="11" t="n">
        <v>0.640219907407407</v>
      </c>
      <c r="D68" s="9" t="s">
        <v>40</v>
      </c>
      <c r="E68" s="9" t="s">
        <v>202</v>
      </c>
      <c r="F68" s="9" t="s">
        <v>42</v>
      </c>
      <c r="G68" s="9" t="s">
        <v>43</v>
      </c>
      <c r="H68" s="9" t="s">
        <v>83</v>
      </c>
      <c r="I68" s="9" t="s">
        <v>45</v>
      </c>
      <c r="J68" s="9" t="s">
        <v>285</v>
      </c>
      <c r="K68" s="9" t="s">
        <v>299</v>
      </c>
      <c r="L68" s="9" t="s">
        <v>300</v>
      </c>
      <c r="M68" s="9"/>
      <c r="N68" s="9" t="s">
        <v>301</v>
      </c>
      <c r="O68" s="9"/>
      <c r="P68" s="9"/>
      <c r="Q68" s="9"/>
      <c r="R68" s="9" t="s">
        <v>51</v>
      </c>
      <c r="S68" s="9" t="s">
        <v>52</v>
      </c>
      <c r="T68" s="9"/>
      <c r="U68" s="9"/>
      <c r="V68" s="9"/>
      <c r="W68" s="9"/>
      <c r="X68" s="9"/>
    </row>
    <row r="69" customFormat="false" ht="34.5" hidden="false" customHeight="true" outlineLevel="0" collapsed="false">
      <c r="A69" s="9" t="s">
        <v>302</v>
      </c>
      <c r="B69" s="10" t="n">
        <v>46291</v>
      </c>
      <c r="C69" s="11" t="n">
        <v>0.645578703703704</v>
      </c>
      <c r="D69" s="9" t="s">
        <v>40</v>
      </c>
      <c r="E69" s="9" t="s">
        <v>202</v>
      </c>
      <c r="F69" s="9" t="s">
        <v>42</v>
      </c>
      <c r="G69" s="9" t="s">
        <v>43</v>
      </c>
      <c r="H69" s="9" t="s">
        <v>83</v>
      </c>
      <c r="I69" s="9" t="s">
        <v>45</v>
      </c>
      <c r="J69" s="9" t="s">
        <v>303</v>
      </c>
      <c r="K69" s="9" t="s">
        <v>304</v>
      </c>
      <c r="L69" s="9" t="s">
        <v>305</v>
      </c>
      <c r="M69" s="9"/>
      <c r="N69" s="9" t="s">
        <v>306</v>
      </c>
      <c r="O69" s="9"/>
      <c r="P69" s="9"/>
      <c r="Q69" s="9"/>
      <c r="R69" s="9" t="s">
        <v>51</v>
      </c>
      <c r="S69" s="9" t="s">
        <v>52</v>
      </c>
      <c r="T69" s="9"/>
      <c r="U69" s="9"/>
      <c r="V69" s="9"/>
      <c r="W69" s="9"/>
      <c r="X69" s="9"/>
    </row>
    <row r="70" customFormat="false" ht="34.5" hidden="false" customHeight="true" outlineLevel="0" collapsed="false">
      <c r="A70" s="9" t="s">
        <v>307</v>
      </c>
      <c r="B70" s="10" t="n">
        <v>46291</v>
      </c>
      <c r="C70" s="11" t="n">
        <v>0.645578703703704</v>
      </c>
      <c r="D70" s="9" t="s">
        <v>40</v>
      </c>
      <c r="E70" s="9" t="s">
        <v>202</v>
      </c>
      <c r="F70" s="9" t="s">
        <v>42</v>
      </c>
      <c r="G70" s="9" t="s">
        <v>43</v>
      </c>
      <c r="H70" s="9" t="s">
        <v>83</v>
      </c>
      <c r="I70" s="9" t="s">
        <v>45</v>
      </c>
      <c r="J70" s="9" t="s">
        <v>303</v>
      </c>
      <c r="K70" s="9" t="s">
        <v>308</v>
      </c>
      <c r="L70" s="9" t="s">
        <v>309</v>
      </c>
      <c r="M70" s="9"/>
      <c r="N70" s="9" t="s">
        <v>310</v>
      </c>
      <c r="O70" s="9"/>
      <c r="P70" s="9"/>
      <c r="Q70" s="9"/>
      <c r="R70" s="9" t="s">
        <v>51</v>
      </c>
      <c r="S70" s="9" t="s">
        <v>52</v>
      </c>
      <c r="T70" s="9"/>
      <c r="U70" s="9"/>
      <c r="V70" s="9"/>
      <c r="W70" s="9"/>
      <c r="X70" s="9"/>
    </row>
    <row r="71" customFormat="false" ht="68.25" hidden="false" customHeight="true" outlineLevel="0" collapsed="false">
      <c r="A71" s="9" t="s">
        <v>311</v>
      </c>
      <c r="B71" s="10" t="n">
        <v>46291</v>
      </c>
      <c r="C71" s="11" t="n">
        <v>0.645578703703704</v>
      </c>
      <c r="D71" s="9" t="s">
        <v>40</v>
      </c>
      <c r="E71" s="9" t="s">
        <v>202</v>
      </c>
      <c r="F71" s="9" t="s">
        <v>42</v>
      </c>
      <c r="G71" s="9" t="s">
        <v>43</v>
      </c>
      <c r="H71" s="9" t="s">
        <v>83</v>
      </c>
      <c r="I71" s="9" t="s">
        <v>147</v>
      </c>
      <c r="J71" s="9" t="s">
        <v>303</v>
      </c>
      <c r="K71" s="9"/>
      <c r="L71" s="9"/>
      <c r="M71" s="9"/>
      <c r="N71" s="9" t="s">
        <v>312</v>
      </c>
      <c r="O71" s="9"/>
      <c r="P71" s="9"/>
      <c r="Q71" s="9"/>
      <c r="R71" s="9" t="s">
        <v>51</v>
      </c>
      <c r="S71" s="9" t="s">
        <v>52</v>
      </c>
      <c r="T71" s="9"/>
      <c r="U71" s="9"/>
      <c r="V71" s="9"/>
      <c r="W71" s="9"/>
      <c r="X71" s="9"/>
    </row>
    <row r="72" customFormat="false" ht="34.5" hidden="false" customHeight="true" outlineLevel="0" collapsed="false">
      <c r="A72" s="9" t="s">
        <v>313</v>
      </c>
      <c r="B72" s="10" t="n">
        <v>46291</v>
      </c>
      <c r="C72" s="11" t="n">
        <v>0.645590277777778</v>
      </c>
      <c r="D72" s="9" t="s">
        <v>40</v>
      </c>
      <c r="E72" s="9" t="s">
        <v>202</v>
      </c>
      <c r="F72" s="9" t="s">
        <v>42</v>
      </c>
      <c r="G72" s="9" t="s">
        <v>43</v>
      </c>
      <c r="H72" s="9" t="s">
        <v>83</v>
      </c>
      <c r="I72" s="9" t="s">
        <v>45</v>
      </c>
      <c r="J72" s="9" t="s">
        <v>303</v>
      </c>
      <c r="K72" s="9" t="s">
        <v>314</v>
      </c>
      <c r="L72" s="9" t="s">
        <v>315</v>
      </c>
      <c r="M72" s="9"/>
      <c r="N72" s="9" t="s">
        <v>316</v>
      </c>
      <c r="O72" s="9"/>
      <c r="P72" s="9"/>
      <c r="Q72" s="9"/>
      <c r="R72" s="9" t="s">
        <v>51</v>
      </c>
      <c r="S72" s="9" t="s">
        <v>52</v>
      </c>
      <c r="T72" s="9"/>
      <c r="U72" s="9"/>
      <c r="V72" s="9"/>
      <c r="W72" s="9"/>
      <c r="X72" s="9"/>
    </row>
    <row r="73" customFormat="false" ht="45.75" hidden="false" customHeight="true" outlineLevel="0" collapsed="false">
      <c r="A73" s="9" t="s">
        <v>317</v>
      </c>
      <c r="B73" s="10" t="n">
        <v>46291</v>
      </c>
      <c r="C73" s="11" t="n">
        <v>0.838344907407407</v>
      </c>
      <c r="D73" s="9" t="s">
        <v>40</v>
      </c>
      <c r="E73" s="9" t="s">
        <v>202</v>
      </c>
      <c r="F73" s="9" t="s">
        <v>42</v>
      </c>
      <c r="G73" s="9" t="s">
        <v>43</v>
      </c>
      <c r="H73" s="9" t="s">
        <v>83</v>
      </c>
      <c r="I73" s="9" t="s">
        <v>92</v>
      </c>
      <c r="J73" s="9" t="s">
        <v>318</v>
      </c>
      <c r="K73" s="9"/>
      <c r="L73" s="9"/>
      <c r="M73" s="9"/>
      <c r="N73" s="9" t="s">
        <v>319</v>
      </c>
      <c r="O73" s="9"/>
      <c r="P73" s="9"/>
      <c r="Q73" s="9"/>
      <c r="R73" s="9" t="s">
        <v>51</v>
      </c>
      <c r="S73" s="9" t="s">
        <v>52</v>
      </c>
      <c r="T73" s="9"/>
      <c r="U73" s="9"/>
      <c r="V73" s="9"/>
      <c r="W73" s="9"/>
      <c r="X73" s="9"/>
    </row>
    <row r="74" customFormat="false" ht="57" hidden="false" customHeight="true" outlineLevel="0" collapsed="false">
      <c r="A74" s="9" t="s">
        <v>320</v>
      </c>
      <c r="B74" s="10" t="n">
        <v>46291</v>
      </c>
      <c r="C74" s="11" t="n">
        <v>0.841377314814815</v>
      </c>
      <c r="D74" s="9" t="s">
        <v>40</v>
      </c>
      <c r="E74" s="9" t="s">
        <v>202</v>
      </c>
      <c r="F74" s="9" t="s">
        <v>42</v>
      </c>
      <c r="G74" s="9" t="s">
        <v>43</v>
      </c>
      <c r="H74" s="9" t="s">
        <v>83</v>
      </c>
      <c r="I74" s="9" t="s">
        <v>187</v>
      </c>
      <c r="J74" s="9" t="s">
        <v>318</v>
      </c>
      <c r="K74" s="9" t="s">
        <v>259</v>
      </c>
      <c r="L74" s="9" t="s">
        <v>260</v>
      </c>
      <c r="M74" s="9"/>
      <c r="N74" s="9" t="s">
        <v>321</v>
      </c>
      <c r="O74" s="9"/>
      <c r="P74" s="9"/>
      <c r="Q74" s="9"/>
      <c r="R74" s="9" t="s">
        <v>51</v>
      </c>
      <c r="S74" s="9" t="s">
        <v>52</v>
      </c>
      <c r="T74" s="9"/>
      <c r="U74" s="9"/>
      <c r="V74" s="9"/>
      <c r="W74" s="9"/>
      <c r="X74" s="9"/>
    </row>
    <row r="75" customFormat="false" ht="46.25" hidden="false" customHeight="false" outlineLevel="0" collapsed="false">
      <c r="A75" s="9" t="s">
        <v>322</v>
      </c>
      <c r="B75" s="10" t="n">
        <v>46292</v>
      </c>
      <c r="C75" s="11" t="n">
        <v>0.544189814814815</v>
      </c>
      <c r="D75" s="9" t="s">
        <v>40</v>
      </c>
      <c r="E75" s="9" t="s">
        <v>323</v>
      </c>
      <c r="F75" s="9" t="s">
        <v>42</v>
      </c>
      <c r="G75" s="9" t="s">
        <v>43</v>
      </c>
      <c r="H75" s="9" t="s">
        <v>83</v>
      </c>
      <c r="I75" s="9" t="s">
        <v>45</v>
      </c>
      <c r="J75" s="9" t="s">
        <v>318</v>
      </c>
      <c r="K75" s="9" t="s">
        <v>324</v>
      </c>
      <c r="L75" s="9" t="s">
        <v>325</v>
      </c>
      <c r="M75" s="9"/>
      <c r="N75" s="9" t="s">
        <v>326</v>
      </c>
      <c r="O75" s="9"/>
      <c r="P75" s="9"/>
      <c r="Q75" s="9"/>
      <c r="R75" s="9" t="s">
        <v>51</v>
      </c>
      <c r="S75" s="9" t="s">
        <v>52</v>
      </c>
      <c r="T75" s="9"/>
      <c r="U75" s="9"/>
      <c r="V75" s="9"/>
      <c r="W75" s="9"/>
      <c r="X75" s="9"/>
    </row>
    <row r="76" customFormat="false" ht="23.85" hidden="false" customHeight="false" outlineLevel="0" collapsed="false">
      <c r="A76" s="9" t="s">
        <v>327</v>
      </c>
      <c r="B76" s="10" t="n">
        <v>46292</v>
      </c>
      <c r="C76" s="11" t="n">
        <v>0.544189814814815</v>
      </c>
      <c r="D76" s="9" t="s">
        <v>40</v>
      </c>
      <c r="E76" s="9" t="s">
        <v>323</v>
      </c>
      <c r="F76" s="9" t="s">
        <v>42</v>
      </c>
      <c r="G76" s="9" t="s">
        <v>43</v>
      </c>
      <c r="H76" s="9" t="s">
        <v>83</v>
      </c>
      <c r="I76" s="9" t="s">
        <v>45</v>
      </c>
      <c r="J76" s="9" t="s">
        <v>318</v>
      </c>
      <c r="K76" s="9" t="s">
        <v>328</v>
      </c>
      <c r="L76" s="9" t="s">
        <v>329</v>
      </c>
      <c r="M76" s="9"/>
      <c r="N76" s="9" t="s">
        <v>330</v>
      </c>
      <c r="O76" s="9"/>
      <c r="P76" s="9"/>
      <c r="Q76" s="9"/>
      <c r="R76" s="9" t="s">
        <v>51</v>
      </c>
      <c r="S76" s="9" t="s">
        <v>52</v>
      </c>
      <c r="T76" s="9"/>
      <c r="U76" s="9"/>
      <c r="V76" s="9"/>
      <c r="W76" s="9"/>
      <c r="X76" s="9"/>
    </row>
    <row r="77" customFormat="false" ht="35.05" hidden="false" customHeight="false" outlineLevel="0" collapsed="false">
      <c r="A77" s="9" t="s">
        <v>331</v>
      </c>
      <c r="B77" s="10" t="n">
        <v>46292</v>
      </c>
      <c r="C77" s="11" t="n">
        <v>0.544189814814815</v>
      </c>
      <c r="D77" s="9" t="s">
        <v>40</v>
      </c>
      <c r="E77" s="9" t="s">
        <v>323</v>
      </c>
      <c r="F77" s="9" t="s">
        <v>42</v>
      </c>
      <c r="G77" s="9" t="s">
        <v>43</v>
      </c>
      <c r="H77" s="9" t="s">
        <v>83</v>
      </c>
      <c r="I77" s="9" t="s">
        <v>45</v>
      </c>
      <c r="J77" s="9" t="s">
        <v>318</v>
      </c>
      <c r="K77" s="9" t="s">
        <v>332</v>
      </c>
      <c r="L77" s="9" t="s">
        <v>333</v>
      </c>
      <c r="M77" s="9"/>
      <c r="N77" s="9" t="s">
        <v>334</v>
      </c>
      <c r="O77" s="9"/>
      <c r="P77" s="9"/>
      <c r="Q77" s="9"/>
      <c r="R77" s="9" t="s">
        <v>51</v>
      </c>
      <c r="S77" s="9" t="s">
        <v>52</v>
      </c>
      <c r="T77" s="9"/>
      <c r="U77" s="9"/>
      <c r="V77" s="9"/>
      <c r="W77" s="9"/>
      <c r="X77"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335</v>
      </c>
      <c r="B1" s="5" t="s">
        <v>336</v>
      </c>
      <c r="C1" s="5" t="s">
        <v>9</v>
      </c>
      <c r="D1" s="5" t="s">
        <v>337</v>
      </c>
      <c r="E1" s="5" t="s">
        <v>26</v>
      </c>
      <c r="F1" s="5" t="s">
        <v>27</v>
      </c>
      <c r="G1" s="5" t="s">
        <v>338</v>
      </c>
      <c r="H1" s="5" t="s">
        <v>339</v>
      </c>
      <c r="I1" s="5" t="s">
        <v>340</v>
      </c>
      <c r="J1" s="5" t="s">
        <v>341</v>
      </c>
      <c r="K1" s="5" t="s">
        <v>11</v>
      </c>
      <c r="L1" s="5" t="s">
        <v>342</v>
      </c>
    </row>
    <row r="2" customFormat="false" ht="45.75" hidden="false" customHeight="true" outlineLevel="0" collapsed="false">
      <c r="A2" s="6" t="s">
        <v>343</v>
      </c>
      <c r="B2" s="7" t="n">
        <v>46288</v>
      </c>
      <c r="C2" s="6" t="s">
        <v>344</v>
      </c>
      <c r="D2" s="6" t="s">
        <v>345</v>
      </c>
      <c r="E2" s="6" t="s">
        <v>93</v>
      </c>
      <c r="F2" s="6" t="s">
        <v>346</v>
      </c>
      <c r="G2" s="6"/>
      <c r="H2" s="6" t="s">
        <v>347</v>
      </c>
      <c r="I2" s="6" t="s">
        <v>348</v>
      </c>
      <c r="J2" s="6" t="s">
        <v>349</v>
      </c>
      <c r="K2" s="6" t="s">
        <v>52</v>
      </c>
      <c r="L2" s="6"/>
    </row>
    <row r="3" customFormat="false" ht="57" hidden="false" customHeight="true" outlineLevel="0" collapsed="false">
      <c r="A3" s="9" t="s">
        <v>350</v>
      </c>
      <c r="B3" s="10" t="n">
        <v>46289</v>
      </c>
      <c r="C3" s="9" t="s">
        <v>351</v>
      </c>
      <c r="D3" s="9" t="s">
        <v>352</v>
      </c>
      <c r="E3" s="9" t="s">
        <v>114</v>
      </c>
      <c r="F3" s="9" t="s">
        <v>353</v>
      </c>
      <c r="G3" s="9"/>
      <c r="H3" s="9" t="s">
        <v>354</v>
      </c>
      <c r="I3" s="9" t="s">
        <v>355</v>
      </c>
      <c r="J3" s="9" t="s">
        <v>356</v>
      </c>
      <c r="K3" s="9" t="s">
        <v>357</v>
      </c>
      <c r="L3" s="9"/>
    </row>
    <row r="4" customFormat="false" ht="90.75" hidden="false" customHeight="true" outlineLevel="0" collapsed="false">
      <c r="A4" s="9" t="s">
        <v>358</v>
      </c>
      <c r="B4" s="10" t="n">
        <v>46289</v>
      </c>
      <c r="C4" s="12" t="s">
        <v>359</v>
      </c>
      <c r="D4" s="9" t="s">
        <v>360</v>
      </c>
      <c r="E4" s="9" t="s">
        <v>131</v>
      </c>
      <c r="F4" s="9" t="s">
        <v>361</v>
      </c>
      <c r="G4" s="9" t="s">
        <v>362</v>
      </c>
      <c r="H4" s="9" t="s">
        <v>363</v>
      </c>
      <c r="I4" s="9" t="s">
        <v>364</v>
      </c>
      <c r="J4" s="9" t="s">
        <v>365</v>
      </c>
      <c r="K4" s="9" t="s">
        <v>52</v>
      </c>
      <c r="L4" s="9"/>
    </row>
    <row r="5" customFormat="false" ht="57" hidden="false" customHeight="true" outlineLevel="0" collapsed="false">
      <c r="A5" s="9" t="s">
        <v>185</v>
      </c>
      <c r="B5" s="10" t="n">
        <v>46290</v>
      </c>
      <c r="C5" s="9" t="s">
        <v>344</v>
      </c>
      <c r="D5" s="9" t="s">
        <v>366</v>
      </c>
      <c r="E5" s="9" t="s">
        <v>166</v>
      </c>
      <c r="F5" s="9" t="s">
        <v>367</v>
      </c>
      <c r="G5" s="9"/>
      <c r="H5" s="9" t="s">
        <v>368</v>
      </c>
      <c r="I5" s="9" t="s">
        <v>369</v>
      </c>
      <c r="J5" s="9" t="s">
        <v>370</v>
      </c>
      <c r="K5" s="9" t="s">
        <v>52</v>
      </c>
      <c r="L5" s="9"/>
    </row>
    <row r="6" customFormat="false" ht="57" hidden="false" customHeight="true" outlineLevel="0" collapsed="false">
      <c r="A6" s="9" t="s">
        <v>371</v>
      </c>
      <c r="B6" s="10" t="n">
        <v>46290</v>
      </c>
      <c r="C6" s="9" t="s">
        <v>344</v>
      </c>
      <c r="D6" s="9" t="s">
        <v>366</v>
      </c>
      <c r="E6" s="9" t="s">
        <v>166</v>
      </c>
      <c r="F6" s="9" t="s">
        <v>367</v>
      </c>
      <c r="G6" s="9"/>
      <c r="H6" s="9" t="s">
        <v>368</v>
      </c>
      <c r="I6" s="9" t="s">
        <v>369</v>
      </c>
      <c r="J6" s="9" t="s">
        <v>372</v>
      </c>
      <c r="K6" s="9" t="s">
        <v>52</v>
      </c>
      <c r="L6" s="9"/>
    </row>
    <row r="7" customFormat="false" ht="68.25" hidden="false" customHeight="true" outlineLevel="0" collapsed="false">
      <c r="A7" s="9" t="s">
        <v>373</v>
      </c>
      <c r="B7" s="10" t="n">
        <v>46291</v>
      </c>
      <c r="C7" s="9" t="s">
        <v>344</v>
      </c>
      <c r="D7" s="9" t="s">
        <v>374</v>
      </c>
      <c r="E7" s="9" t="s">
        <v>285</v>
      </c>
      <c r="F7" s="9" t="s">
        <v>375</v>
      </c>
      <c r="G7" s="9"/>
      <c r="H7" s="9" t="s">
        <v>376</v>
      </c>
      <c r="I7" s="9" t="s">
        <v>377</v>
      </c>
      <c r="J7" s="9" t="s">
        <v>378</v>
      </c>
      <c r="K7" s="9" t="s">
        <v>379</v>
      </c>
      <c r="L7"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380</v>
      </c>
      <c r="C1" s="5" t="s">
        <v>381</v>
      </c>
      <c r="D1" s="5" t="s">
        <v>382</v>
      </c>
      <c r="E1" s="5" t="s">
        <v>383</v>
      </c>
      <c r="F1" s="5" t="s">
        <v>384</v>
      </c>
      <c r="G1" s="5" t="s">
        <v>385</v>
      </c>
    </row>
    <row r="2" customFormat="false" ht="23.25" hidden="false" customHeight="true" outlineLevel="0" collapsed="false">
      <c r="A2" s="6" t="s">
        <v>346</v>
      </c>
      <c r="B2" s="6" t="s">
        <v>386</v>
      </c>
      <c r="C2" s="6" t="n">
        <v>460676</v>
      </c>
      <c r="D2" s="6" t="s">
        <v>387</v>
      </c>
      <c r="E2" s="6" t="s">
        <v>388</v>
      </c>
      <c r="F2" s="7" t="n">
        <v>46287</v>
      </c>
      <c r="G2" s="6"/>
    </row>
    <row r="3" customFormat="false" ht="15" hidden="false" customHeight="true" outlineLevel="0" collapsed="false">
      <c r="A3" s="6" t="s">
        <v>72</v>
      </c>
      <c r="B3" s="6" t="s">
        <v>389</v>
      </c>
      <c r="C3" s="6" t="n">
        <v>365</v>
      </c>
      <c r="D3" s="6" t="s">
        <v>390</v>
      </c>
      <c r="E3" s="6" t="s">
        <v>391</v>
      </c>
      <c r="F3" s="7" t="n">
        <v>46287</v>
      </c>
      <c r="G3" s="6"/>
    </row>
    <row r="4" customFormat="false" ht="15" hidden="false" customHeight="true" outlineLevel="0" collapsed="false">
      <c r="A4" s="6" t="s">
        <v>76</v>
      </c>
      <c r="B4" s="6" t="s">
        <v>392</v>
      </c>
      <c r="C4" s="6" t="n">
        <v>415</v>
      </c>
      <c r="D4" s="6" t="s">
        <v>393</v>
      </c>
      <c r="E4" s="6" t="s">
        <v>394</v>
      </c>
      <c r="F4" s="7" t="n">
        <v>46287</v>
      </c>
      <c r="G4" s="6"/>
    </row>
    <row r="5" customFormat="false" ht="15" hidden="false" customHeight="true" outlineLevel="0" collapsed="false">
      <c r="A5" s="6" t="s">
        <v>80</v>
      </c>
      <c r="B5" s="6" t="s">
        <v>395</v>
      </c>
      <c r="C5" s="6" t="n">
        <v>420</v>
      </c>
      <c r="D5" s="6" t="s">
        <v>396</v>
      </c>
      <c r="E5" s="6" t="s">
        <v>397</v>
      </c>
      <c r="F5" s="7" t="n">
        <v>46287</v>
      </c>
      <c r="G5" s="6"/>
    </row>
    <row r="6" customFormat="false" ht="15" hidden="false" customHeight="true" outlineLevel="0" collapsed="false">
      <c r="A6" s="6" t="s">
        <v>398</v>
      </c>
      <c r="B6" s="6" t="s">
        <v>386</v>
      </c>
      <c r="C6" s="6" t="n">
        <v>192</v>
      </c>
      <c r="D6" s="6" t="s">
        <v>399</v>
      </c>
      <c r="E6" s="6" t="s">
        <v>400</v>
      </c>
      <c r="F6" s="7" t="n">
        <v>46288</v>
      </c>
      <c r="G6" s="6"/>
    </row>
    <row r="7" customFormat="false" ht="23.25" hidden="false" customHeight="true" outlineLevel="0" collapsed="false">
      <c r="A7" s="6" t="s">
        <v>401</v>
      </c>
      <c r="B7" s="6" t="s">
        <v>402</v>
      </c>
      <c r="C7" s="6" t="n">
        <v>22802</v>
      </c>
      <c r="D7" s="6" t="s">
        <v>403</v>
      </c>
      <c r="E7" s="6" t="s">
        <v>404</v>
      </c>
      <c r="F7" s="7" t="n">
        <v>46288</v>
      </c>
      <c r="G7" s="6"/>
    </row>
    <row r="8" customFormat="false" ht="15" hidden="false" customHeight="true" outlineLevel="0" collapsed="false">
      <c r="A8" s="6" t="s">
        <v>405</v>
      </c>
      <c r="B8" s="6" t="s">
        <v>406</v>
      </c>
      <c r="C8" s="6" t="n">
        <v>9524</v>
      </c>
      <c r="D8" s="6" t="s">
        <v>407</v>
      </c>
      <c r="E8" s="6" t="s">
        <v>408</v>
      </c>
      <c r="F8" s="7" t="n">
        <v>46288</v>
      </c>
      <c r="G8" s="6"/>
    </row>
    <row r="9" customFormat="false" ht="15" hidden="false" customHeight="true" outlineLevel="0" collapsed="false">
      <c r="A9" s="6" t="s">
        <v>98</v>
      </c>
      <c r="B9" s="6" t="s">
        <v>409</v>
      </c>
      <c r="C9" s="6" t="n">
        <v>13590</v>
      </c>
      <c r="D9" s="6" t="s">
        <v>410</v>
      </c>
      <c r="E9" s="6" t="s">
        <v>411</v>
      </c>
      <c r="F9" s="7" t="n">
        <v>46288</v>
      </c>
      <c r="G9" s="6"/>
    </row>
    <row r="10" customFormat="false" ht="15" hidden="false" customHeight="true" outlineLevel="0" collapsed="false">
      <c r="A10" s="9" t="s">
        <v>361</v>
      </c>
      <c r="B10" s="9" t="s">
        <v>386</v>
      </c>
      <c r="C10" s="9" t="n">
        <v>468785</v>
      </c>
      <c r="D10" s="9" t="s">
        <v>412</v>
      </c>
      <c r="E10" s="9" t="s">
        <v>413</v>
      </c>
      <c r="F10" s="10" t="n">
        <v>46289</v>
      </c>
      <c r="G10" s="9"/>
    </row>
    <row r="11" customFormat="false" ht="15" hidden="false" customHeight="true" outlineLevel="0" collapsed="false">
      <c r="A11" s="9" t="s">
        <v>353</v>
      </c>
      <c r="B11" s="9" t="s">
        <v>402</v>
      </c>
      <c r="C11" s="9" t="n">
        <v>48765</v>
      </c>
      <c r="D11" s="9" t="s">
        <v>414</v>
      </c>
      <c r="E11" s="9" t="s">
        <v>415</v>
      </c>
      <c r="F11" s="10" t="n">
        <v>46289</v>
      </c>
      <c r="G11" s="9"/>
    </row>
    <row r="12" customFormat="false" ht="15" hidden="false" customHeight="true" outlineLevel="0" collapsed="false">
      <c r="A12" s="9" t="s">
        <v>119</v>
      </c>
      <c r="B12" s="9" t="s">
        <v>409</v>
      </c>
      <c r="C12" s="9" t="n">
        <v>9337</v>
      </c>
      <c r="D12" s="9" t="s">
        <v>416</v>
      </c>
      <c r="E12" s="9" t="s">
        <v>417</v>
      </c>
      <c r="F12" s="10" t="n">
        <v>46289</v>
      </c>
      <c r="G12" s="9"/>
    </row>
    <row r="13" customFormat="false" ht="15" hidden="false" customHeight="true" outlineLevel="0" collapsed="false">
      <c r="A13" s="9" t="s">
        <v>124</v>
      </c>
      <c r="B13" s="9" t="s">
        <v>406</v>
      </c>
      <c r="C13" s="9" t="n">
        <v>2868</v>
      </c>
      <c r="D13" s="9" t="s">
        <v>418</v>
      </c>
      <c r="E13" s="9" t="s">
        <v>419</v>
      </c>
      <c r="F13" s="10" t="n">
        <v>46289</v>
      </c>
      <c r="G13" s="9"/>
    </row>
    <row r="14" customFormat="false" ht="23.25" hidden="false" customHeight="true" outlineLevel="0" collapsed="false">
      <c r="A14" s="9" t="s">
        <v>420</v>
      </c>
      <c r="B14" s="9" t="s">
        <v>421</v>
      </c>
      <c r="C14" s="9" t="n">
        <v>141791</v>
      </c>
      <c r="D14" s="9" t="s">
        <v>422</v>
      </c>
      <c r="E14" s="9" t="s">
        <v>423</v>
      </c>
      <c r="F14" s="10" t="n">
        <v>46289</v>
      </c>
      <c r="G14" s="9"/>
    </row>
    <row r="15" customFormat="false" ht="15" hidden="false" customHeight="true" outlineLevel="0" collapsed="false">
      <c r="A15" s="9" t="s">
        <v>140</v>
      </c>
      <c r="B15" s="9" t="s">
        <v>406</v>
      </c>
      <c r="C15" s="9" t="n">
        <v>1416</v>
      </c>
      <c r="D15" s="9" t="s">
        <v>424</v>
      </c>
      <c r="E15" s="9" t="s">
        <v>425</v>
      </c>
      <c r="F15" s="10" t="n">
        <v>46289</v>
      </c>
      <c r="G15" s="9"/>
    </row>
    <row r="16" customFormat="false" ht="15" hidden="false" customHeight="true" outlineLevel="0" collapsed="false">
      <c r="A16" s="9" t="s">
        <v>144</v>
      </c>
      <c r="B16" s="9" t="s">
        <v>409</v>
      </c>
      <c r="C16" s="9" t="n">
        <v>2595</v>
      </c>
      <c r="D16" s="9" t="s">
        <v>426</v>
      </c>
      <c r="E16" s="9" t="s">
        <v>427</v>
      </c>
      <c r="F16" s="10" t="n">
        <v>46289</v>
      </c>
      <c r="G16" s="9"/>
    </row>
    <row r="17" customFormat="false" ht="23.25" hidden="false" customHeight="true" outlineLevel="0" collapsed="false">
      <c r="A17" s="9" t="s">
        <v>428</v>
      </c>
      <c r="B17" s="9" t="s">
        <v>406</v>
      </c>
      <c r="C17" s="9" t="n">
        <v>18407</v>
      </c>
      <c r="D17" s="9" t="s">
        <v>429</v>
      </c>
      <c r="E17" s="9" t="s">
        <v>430</v>
      </c>
      <c r="F17" s="10" t="n">
        <v>46290</v>
      </c>
      <c r="G17" s="9"/>
    </row>
    <row r="18" customFormat="false" ht="15" hidden="false" customHeight="true" outlineLevel="0" collapsed="false">
      <c r="A18" s="9" t="s">
        <v>431</v>
      </c>
      <c r="B18" s="9" t="s">
        <v>402</v>
      </c>
      <c r="C18" s="9" t="n">
        <v>51730</v>
      </c>
      <c r="D18" s="9" t="s">
        <v>432</v>
      </c>
      <c r="E18" s="9" t="s">
        <v>433</v>
      </c>
      <c r="F18" s="10" t="n">
        <v>46290</v>
      </c>
      <c r="G18" s="9"/>
    </row>
    <row r="19" customFormat="false" ht="23.25" hidden="false" customHeight="true" outlineLevel="0" collapsed="false">
      <c r="A19" s="9" t="s">
        <v>434</v>
      </c>
      <c r="B19" s="9" t="s">
        <v>421</v>
      </c>
      <c r="C19" s="9" t="n">
        <v>150866</v>
      </c>
      <c r="D19" s="9" t="s">
        <v>435</v>
      </c>
      <c r="E19" s="9" t="s">
        <v>436</v>
      </c>
      <c r="F19" s="10" t="n">
        <v>46290</v>
      </c>
      <c r="G19" s="9"/>
    </row>
    <row r="20" customFormat="false" ht="23.25" hidden="false" customHeight="true" outlineLevel="0" collapsed="false">
      <c r="A20" s="9" t="s">
        <v>437</v>
      </c>
      <c r="B20" s="9" t="s">
        <v>421</v>
      </c>
      <c r="C20" s="9" t="n">
        <v>227085</v>
      </c>
      <c r="D20" s="9" t="s">
        <v>438</v>
      </c>
      <c r="E20" s="9" t="s">
        <v>439</v>
      </c>
      <c r="F20" s="10" t="n">
        <v>46290</v>
      </c>
      <c r="G20" s="9"/>
    </row>
    <row r="21" customFormat="false" ht="15" hidden="false" customHeight="true" outlineLevel="0" collapsed="false">
      <c r="A21" s="9" t="s">
        <v>440</v>
      </c>
      <c r="B21" s="9" t="s">
        <v>421</v>
      </c>
      <c r="C21" s="9" t="n">
        <v>70321</v>
      </c>
      <c r="D21" s="9" t="s">
        <v>441</v>
      </c>
      <c r="E21" s="9" t="s">
        <v>442</v>
      </c>
      <c r="F21" s="10" t="n">
        <v>46290</v>
      </c>
      <c r="G21" s="9"/>
    </row>
    <row r="22" customFormat="false" ht="23.25" hidden="false" customHeight="true" outlineLevel="0" collapsed="false">
      <c r="A22" s="9" t="s">
        <v>443</v>
      </c>
      <c r="B22" s="9" t="s">
        <v>421</v>
      </c>
      <c r="C22" s="9" t="n">
        <v>440073</v>
      </c>
      <c r="D22" s="9" t="s">
        <v>444</v>
      </c>
      <c r="E22" s="9" t="s">
        <v>445</v>
      </c>
      <c r="F22" s="10" t="n">
        <v>46290</v>
      </c>
      <c r="G22" s="9"/>
    </row>
    <row r="23" customFormat="false" ht="23.25" hidden="false" customHeight="true" outlineLevel="0" collapsed="false">
      <c r="A23" s="9" t="s">
        <v>446</v>
      </c>
      <c r="B23" s="9" t="s">
        <v>421</v>
      </c>
      <c r="C23" s="9" t="n">
        <v>263530</v>
      </c>
      <c r="D23" s="9" t="s">
        <v>447</v>
      </c>
      <c r="E23" s="9" t="s">
        <v>448</v>
      </c>
      <c r="F23" s="10" t="n">
        <v>46290</v>
      </c>
      <c r="G23" s="9"/>
    </row>
    <row r="24" customFormat="false" ht="23.25" hidden="false" customHeight="true" outlineLevel="0" collapsed="false">
      <c r="A24" s="9" t="s">
        <v>449</v>
      </c>
      <c r="B24" s="9" t="s">
        <v>421</v>
      </c>
      <c r="C24" s="9" t="n">
        <v>63054</v>
      </c>
      <c r="D24" s="9" t="s">
        <v>450</v>
      </c>
      <c r="E24" s="9" t="s">
        <v>451</v>
      </c>
      <c r="F24" s="10" t="n">
        <v>46290</v>
      </c>
      <c r="G24" s="9"/>
    </row>
    <row r="25" customFormat="false" ht="23.25" hidden="false" customHeight="true" outlineLevel="0" collapsed="false">
      <c r="A25" s="9" t="s">
        <v>452</v>
      </c>
      <c r="B25" s="9" t="s">
        <v>421</v>
      </c>
      <c r="C25" s="9" t="n">
        <v>373125</v>
      </c>
      <c r="D25" s="9" t="s">
        <v>453</v>
      </c>
      <c r="E25" s="9" t="s">
        <v>454</v>
      </c>
      <c r="F25" s="10" t="n">
        <v>46290</v>
      </c>
      <c r="G25" s="9"/>
    </row>
    <row r="26" customFormat="false" ht="23.25" hidden="false" customHeight="true" outlineLevel="0" collapsed="false">
      <c r="A26" s="9" t="s">
        <v>455</v>
      </c>
      <c r="B26" s="9" t="s">
        <v>421</v>
      </c>
      <c r="C26" s="9" t="n">
        <v>202395</v>
      </c>
      <c r="D26" s="9" t="s">
        <v>456</v>
      </c>
      <c r="E26" s="9" t="s">
        <v>457</v>
      </c>
      <c r="F26" s="10" t="n">
        <v>46290</v>
      </c>
      <c r="G26" s="9"/>
    </row>
    <row r="27" customFormat="false" ht="23.25" hidden="false" customHeight="true" outlineLevel="0" collapsed="false">
      <c r="A27" s="9" t="s">
        <v>458</v>
      </c>
      <c r="B27" s="9" t="s">
        <v>421</v>
      </c>
      <c r="C27" s="9" t="n">
        <v>17992</v>
      </c>
      <c r="D27" s="9" t="s">
        <v>459</v>
      </c>
      <c r="E27" s="9" t="s">
        <v>460</v>
      </c>
      <c r="F27" s="10" t="n">
        <v>46290</v>
      </c>
      <c r="G27" s="9"/>
    </row>
    <row r="28" customFormat="false" ht="23.25" hidden="false" customHeight="true" outlineLevel="0" collapsed="false">
      <c r="A28" s="9" t="s">
        <v>461</v>
      </c>
      <c r="B28" s="9" t="s">
        <v>421</v>
      </c>
      <c r="C28" s="9" t="n">
        <v>108430</v>
      </c>
      <c r="D28" s="9" t="s">
        <v>462</v>
      </c>
      <c r="E28" s="9" t="s">
        <v>463</v>
      </c>
      <c r="F28" s="10" t="n">
        <v>46290</v>
      </c>
      <c r="G28" s="9"/>
    </row>
    <row r="29" customFormat="false" ht="15" hidden="false" customHeight="true" outlineLevel="0" collapsed="false">
      <c r="A29" s="9" t="s">
        <v>177</v>
      </c>
      <c r="B29" s="9" t="s">
        <v>409</v>
      </c>
      <c r="C29" s="9" t="n">
        <v>2667</v>
      </c>
      <c r="D29" s="9" t="s">
        <v>464</v>
      </c>
      <c r="E29" s="9" t="s">
        <v>465</v>
      </c>
      <c r="F29" s="10" t="n">
        <v>46290</v>
      </c>
      <c r="G29" s="9"/>
    </row>
    <row r="30" customFormat="false" ht="23.25" hidden="false" customHeight="true" outlineLevel="0" collapsed="false">
      <c r="A30" s="9" t="s">
        <v>367</v>
      </c>
      <c r="B30" s="9" t="s">
        <v>406</v>
      </c>
      <c r="C30" s="9" t="n">
        <v>19801</v>
      </c>
      <c r="D30" s="9" t="s">
        <v>466</v>
      </c>
      <c r="E30" s="9" t="s">
        <v>467</v>
      </c>
      <c r="F30" s="10" t="n">
        <v>46290</v>
      </c>
      <c r="G30" s="9"/>
    </row>
    <row r="31" customFormat="false" ht="15" hidden="false" customHeight="true" outlineLevel="0" collapsed="false">
      <c r="A31" s="9" t="s">
        <v>468</v>
      </c>
      <c r="B31" s="9" t="s">
        <v>402</v>
      </c>
      <c r="C31" s="9" t="n">
        <v>70580</v>
      </c>
      <c r="D31" s="9" t="s">
        <v>469</v>
      </c>
      <c r="E31" s="9" t="s">
        <v>470</v>
      </c>
      <c r="F31" s="10" t="n">
        <v>46290</v>
      </c>
      <c r="G31" s="9"/>
    </row>
    <row r="32" customFormat="false" ht="15" hidden="false" customHeight="true" outlineLevel="0" collapsed="false">
      <c r="A32" s="9" t="s">
        <v>194</v>
      </c>
      <c r="B32" s="9" t="s">
        <v>409</v>
      </c>
      <c r="C32" s="9" t="n">
        <v>13093</v>
      </c>
      <c r="D32" s="9" t="s">
        <v>471</v>
      </c>
      <c r="E32" s="9" t="s">
        <v>472</v>
      </c>
      <c r="F32" s="10" t="n">
        <v>46290</v>
      </c>
      <c r="G32" s="9"/>
    </row>
    <row r="33" customFormat="false" ht="15" hidden="false" customHeight="true" outlineLevel="0" collapsed="false">
      <c r="A33" s="9" t="s">
        <v>198</v>
      </c>
      <c r="B33" s="9" t="s">
        <v>409</v>
      </c>
      <c r="C33" s="9" t="n">
        <v>2580</v>
      </c>
      <c r="D33" s="9" t="s">
        <v>473</v>
      </c>
      <c r="E33" s="9" t="s">
        <v>474</v>
      </c>
      <c r="F33" s="10" t="n">
        <v>46290</v>
      </c>
      <c r="G33" s="9"/>
    </row>
    <row r="34" customFormat="false" ht="23.25" hidden="false" customHeight="true" outlineLevel="0" collapsed="false">
      <c r="A34" s="9" t="s">
        <v>475</v>
      </c>
      <c r="B34" s="9" t="s">
        <v>386</v>
      </c>
      <c r="C34" s="9" t="n">
        <v>400646</v>
      </c>
      <c r="D34" s="9" t="s">
        <v>476</v>
      </c>
      <c r="E34" s="9" t="s">
        <v>477</v>
      </c>
      <c r="F34" s="10" t="n">
        <v>46291</v>
      </c>
      <c r="G34" s="9"/>
    </row>
    <row r="35" customFormat="false" ht="23.25" hidden="false" customHeight="true" outlineLevel="0" collapsed="false">
      <c r="A35" s="9" t="s">
        <v>478</v>
      </c>
      <c r="B35" s="9" t="s">
        <v>479</v>
      </c>
      <c r="C35" s="9" t="n">
        <v>13150</v>
      </c>
      <c r="D35" s="9" t="s">
        <v>480</v>
      </c>
      <c r="E35" s="9" t="s">
        <v>481</v>
      </c>
      <c r="F35" s="10" t="n">
        <v>46291</v>
      </c>
      <c r="G35" s="9"/>
    </row>
    <row r="36" customFormat="false" ht="23.25" hidden="false" customHeight="true" outlineLevel="0" collapsed="false">
      <c r="A36" s="9" t="s">
        <v>482</v>
      </c>
      <c r="B36" s="9" t="s">
        <v>402</v>
      </c>
      <c r="C36" s="9" t="n">
        <v>11135</v>
      </c>
      <c r="D36" s="9" t="s">
        <v>483</v>
      </c>
      <c r="E36" s="9" t="s">
        <v>484</v>
      </c>
      <c r="F36" s="10" t="n">
        <v>46291</v>
      </c>
      <c r="G36" s="9"/>
    </row>
    <row r="37" customFormat="false" ht="23.25" hidden="false" customHeight="true" outlineLevel="0" collapsed="false">
      <c r="A37" s="9" t="s">
        <v>485</v>
      </c>
      <c r="B37" s="9" t="s">
        <v>386</v>
      </c>
      <c r="C37" s="9" t="n">
        <v>1640514</v>
      </c>
      <c r="D37" s="9" t="s">
        <v>486</v>
      </c>
      <c r="E37" s="9" t="s">
        <v>487</v>
      </c>
      <c r="F37" s="10" t="n">
        <v>46291</v>
      </c>
      <c r="G37" s="9"/>
    </row>
    <row r="38" customFormat="false" ht="15" hidden="false" customHeight="true" outlineLevel="0" collapsed="false">
      <c r="A38" s="9" t="s">
        <v>488</v>
      </c>
      <c r="B38" s="9" t="s">
        <v>386</v>
      </c>
      <c r="C38" s="9" t="n">
        <v>354138</v>
      </c>
      <c r="D38" s="9" t="s">
        <v>489</v>
      </c>
      <c r="E38" s="9" t="s">
        <v>490</v>
      </c>
      <c r="F38" s="10" t="n">
        <v>46291</v>
      </c>
      <c r="G38" s="9"/>
    </row>
    <row r="39" customFormat="false" ht="23.25" hidden="false" customHeight="true" outlineLevel="0" collapsed="false">
      <c r="A39" s="9" t="s">
        <v>491</v>
      </c>
      <c r="B39" s="9" t="s">
        <v>386</v>
      </c>
      <c r="C39" s="9" t="n">
        <v>354683</v>
      </c>
      <c r="D39" s="9" t="s">
        <v>492</v>
      </c>
      <c r="E39" s="9" t="s">
        <v>493</v>
      </c>
      <c r="F39" s="10" t="n">
        <v>46291</v>
      </c>
      <c r="G39" s="9"/>
    </row>
    <row r="40" customFormat="false" ht="23.25" hidden="false" customHeight="true" outlineLevel="0" collapsed="false">
      <c r="A40" s="9" t="s">
        <v>215</v>
      </c>
      <c r="B40" s="9" t="s">
        <v>409</v>
      </c>
      <c r="C40" s="9" t="n">
        <v>23697</v>
      </c>
      <c r="D40" s="9" t="s">
        <v>494</v>
      </c>
      <c r="E40" s="9" t="s">
        <v>495</v>
      </c>
      <c r="F40" s="10" t="n">
        <v>46291</v>
      </c>
      <c r="G40" s="9"/>
    </row>
    <row r="41" customFormat="false" ht="15" hidden="false" customHeight="true" outlineLevel="0" collapsed="false">
      <c r="A41" s="9" t="s">
        <v>220</v>
      </c>
      <c r="B41" s="9" t="s">
        <v>409</v>
      </c>
      <c r="C41" s="9" t="n">
        <v>7023</v>
      </c>
      <c r="D41" s="9" t="s">
        <v>496</v>
      </c>
      <c r="E41" s="9" t="s">
        <v>497</v>
      </c>
      <c r="F41" s="10" t="n">
        <v>46291</v>
      </c>
      <c r="G41" s="9"/>
    </row>
    <row r="42" customFormat="false" ht="23.25" hidden="false" customHeight="true" outlineLevel="0" collapsed="false">
      <c r="A42" s="9" t="s">
        <v>224</v>
      </c>
      <c r="B42" s="9" t="s">
        <v>409</v>
      </c>
      <c r="C42" s="9" t="n">
        <v>21297</v>
      </c>
      <c r="D42" s="9" t="s">
        <v>498</v>
      </c>
      <c r="E42" s="9" t="s">
        <v>499</v>
      </c>
      <c r="F42" s="10" t="n">
        <v>46291</v>
      </c>
      <c r="G42" s="9"/>
    </row>
    <row r="43" customFormat="false" ht="23.25" hidden="false" customHeight="true" outlineLevel="0" collapsed="false">
      <c r="A43" s="9" t="s">
        <v>229</v>
      </c>
      <c r="B43" s="9" t="s">
        <v>409</v>
      </c>
      <c r="C43" s="9" t="n">
        <v>21297</v>
      </c>
      <c r="D43" s="9" t="s">
        <v>498</v>
      </c>
      <c r="E43" s="9" t="s">
        <v>500</v>
      </c>
      <c r="F43" s="10" t="n">
        <v>46291</v>
      </c>
      <c r="G43" s="9"/>
    </row>
    <row r="44" customFormat="false" ht="23.25" hidden="false" customHeight="true" outlineLevel="0" collapsed="false">
      <c r="A44" s="9" t="s">
        <v>232</v>
      </c>
      <c r="B44" s="9" t="s">
        <v>409</v>
      </c>
      <c r="C44" s="9" t="n">
        <v>7023</v>
      </c>
      <c r="D44" s="9" t="s">
        <v>496</v>
      </c>
      <c r="E44" s="9" t="s">
        <v>501</v>
      </c>
      <c r="F44" s="10" t="n">
        <v>46291</v>
      </c>
      <c r="G44" s="9"/>
    </row>
    <row r="45" customFormat="false" ht="15" hidden="false" customHeight="true" outlineLevel="0" collapsed="false">
      <c r="A45" s="9" t="s">
        <v>235</v>
      </c>
      <c r="B45" s="9" t="s">
        <v>409</v>
      </c>
      <c r="C45" s="9" t="n">
        <v>13590</v>
      </c>
      <c r="D45" s="9" t="s">
        <v>410</v>
      </c>
      <c r="E45" s="9" t="s">
        <v>502</v>
      </c>
      <c r="F45" s="10" t="n">
        <v>46291</v>
      </c>
      <c r="G45" s="9"/>
    </row>
    <row r="46" customFormat="false" ht="15" hidden="false" customHeight="true" outlineLevel="0" collapsed="false">
      <c r="A46" s="9" t="s">
        <v>238</v>
      </c>
      <c r="B46" s="9" t="s">
        <v>409</v>
      </c>
      <c r="C46" s="9" t="n">
        <v>9337</v>
      </c>
      <c r="D46" s="9" t="s">
        <v>416</v>
      </c>
      <c r="E46" s="9" t="s">
        <v>503</v>
      </c>
      <c r="F46" s="10" t="n">
        <v>46291</v>
      </c>
      <c r="G46" s="9"/>
    </row>
    <row r="47" customFormat="false" ht="23.25" hidden="false" customHeight="true" outlineLevel="0" collapsed="false">
      <c r="A47" s="9" t="s">
        <v>241</v>
      </c>
      <c r="B47" s="9" t="s">
        <v>409</v>
      </c>
      <c r="C47" s="9" t="n">
        <v>2595</v>
      </c>
      <c r="D47" s="9" t="s">
        <v>426</v>
      </c>
      <c r="E47" s="9" t="s">
        <v>504</v>
      </c>
      <c r="F47" s="10" t="n">
        <v>46291</v>
      </c>
      <c r="G47" s="9"/>
    </row>
    <row r="48" customFormat="false" ht="23.25" hidden="false" customHeight="true" outlineLevel="0" collapsed="false">
      <c r="A48" s="9" t="s">
        <v>243</v>
      </c>
      <c r="B48" s="9" t="s">
        <v>409</v>
      </c>
      <c r="C48" s="9" t="n">
        <v>2580</v>
      </c>
      <c r="D48" s="9" t="s">
        <v>473</v>
      </c>
      <c r="E48" s="9" t="s">
        <v>505</v>
      </c>
      <c r="F48" s="10" t="n">
        <v>46291</v>
      </c>
      <c r="G48" s="9"/>
    </row>
    <row r="49" customFormat="false" ht="23.25" hidden="false" customHeight="true" outlineLevel="0" collapsed="false">
      <c r="A49" s="9" t="s">
        <v>245</v>
      </c>
      <c r="B49" s="9" t="s">
        <v>409</v>
      </c>
      <c r="C49" s="9" t="n">
        <v>13093</v>
      </c>
      <c r="D49" s="9" t="s">
        <v>471</v>
      </c>
      <c r="E49" s="9" t="s">
        <v>506</v>
      </c>
      <c r="F49" s="10" t="n">
        <v>46291</v>
      </c>
      <c r="G49" s="9"/>
    </row>
    <row r="50" customFormat="false" ht="23.25" hidden="false" customHeight="true" outlineLevel="0" collapsed="false">
      <c r="A50" s="9" t="s">
        <v>247</v>
      </c>
      <c r="B50" s="9" t="s">
        <v>409</v>
      </c>
      <c r="C50" s="9" t="n">
        <v>2667</v>
      </c>
      <c r="D50" s="9" t="s">
        <v>464</v>
      </c>
      <c r="E50" s="9" t="s">
        <v>507</v>
      </c>
      <c r="F50" s="10" t="n">
        <v>46291</v>
      </c>
      <c r="G50" s="9"/>
    </row>
    <row r="51" customFormat="false" ht="23.25" hidden="false" customHeight="true" outlineLevel="0" collapsed="false">
      <c r="A51" s="9" t="s">
        <v>250</v>
      </c>
      <c r="B51" s="9" t="s">
        <v>409</v>
      </c>
      <c r="C51" s="9" t="n">
        <v>3400</v>
      </c>
      <c r="D51" s="9" t="s">
        <v>508</v>
      </c>
      <c r="E51" s="9" t="s">
        <v>509</v>
      </c>
      <c r="F51" s="10" t="n">
        <v>46291</v>
      </c>
      <c r="G51" s="9"/>
    </row>
    <row r="52" customFormat="false" ht="23.25" hidden="false" customHeight="true" outlineLevel="0" collapsed="false">
      <c r="A52" s="9" t="s">
        <v>252</v>
      </c>
      <c r="B52" s="9" t="s">
        <v>409</v>
      </c>
      <c r="C52" s="9" t="n">
        <v>23697</v>
      </c>
      <c r="D52" s="9" t="s">
        <v>494</v>
      </c>
      <c r="E52" s="9" t="s">
        <v>510</v>
      </c>
      <c r="F52" s="10" t="n">
        <v>46291</v>
      </c>
      <c r="G52" s="9"/>
    </row>
    <row r="53" customFormat="false" ht="15" hidden="false" customHeight="true" outlineLevel="0" collapsed="false">
      <c r="A53" s="9" t="s">
        <v>260</v>
      </c>
      <c r="B53" s="9" t="s">
        <v>406</v>
      </c>
      <c r="C53" s="9" t="n">
        <v>4533</v>
      </c>
      <c r="D53" s="9" t="s">
        <v>511</v>
      </c>
      <c r="E53" s="9" t="s">
        <v>512</v>
      </c>
      <c r="F53" s="10" t="n">
        <v>46291</v>
      </c>
      <c r="G53" s="9"/>
    </row>
    <row r="54" customFormat="false" ht="15" hidden="false" customHeight="true" outlineLevel="0" collapsed="false">
      <c r="A54" s="9" t="s">
        <v>265</v>
      </c>
      <c r="B54" s="9" t="s">
        <v>409</v>
      </c>
      <c r="C54" s="9" t="n">
        <v>2312</v>
      </c>
      <c r="D54" s="9" t="s">
        <v>513</v>
      </c>
      <c r="E54" s="9" t="s">
        <v>514</v>
      </c>
      <c r="F54" s="10" t="n">
        <v>46291</v>
      </c>
      <c r="G54" s="9"/>
    </row>
    <row r="55" customFormat="false" ht="15" hidden="false" customHeight="true" outlineLevel="0" collapsed="false">
      <c r="A55" s="9" t="s">
        <v>515</v>
      </c>
      <c r="B55" s="9" t="s">
        <v>402</v>
      </c>
      <c r="C55" s="9" t="n">
        <v>249</v>
      </c>
      <c r="D55" s="9" t="s">
        <v>516</v>
      </c>
      <c r="E55" s="9" t="s">
        <v>517</v>
      </c>
      <c r="F55" s="10" t="n">
        <v>46291</v>
      </c>
      <c r="G55" s="9"/>
    </row>
    <row r="56" customFormat="false" ht="15" hidden="false" customHeight="true" outlineLevel="0" collapsed="false">
      <c r="A56" s="9" t="s">
        <v>269</v>
      </c>
      <c r="B56" s="9" t="s">
        <v>409</v>
      </c>
      <c r="C56" s="9" t="n">
        <v>1978</v>
      </c>
      <c r="D56" s="9" t="s">
        <v>518</v>
      </c>
      <c r="E56" s="9" t="s">
        <v>519</v>
      </c>
      <c r="F56" s="10" t="n">
        <v>46291</v>
      </c>
      <c r="G56" s="9"/>
    </row>
    <row r="57" customFormat="false" ht="23.25" hidden="false" customHeight="true" outlineLevel="0" collapsed="false">
      <c r="A57" s="9" t="s">
        <v>520</v>
      </c>
      <c r="B57" s="9" t="s">
        <v>386</v>
      </c>
      <c r="C57" s="9" t="n">
        <v>7621</v>
      </c>
      <c r="D57" s="9" t="s">
        <v>521</v>
      </c>
      <c r="E57" s="9" t="s">
        <v>522</v>
      </c>
      <c r="F57" s="10" t="n">
        <v>46291</v>
      </c>
      <c r="G57" s="9"/>
    </row>
    <row r="58" customFormat="false" ht="15" hidden="false" customHeight="true" outlineLevel="0" collapsed="false">
      <c r="A58" s="9" t="s">
        <v>523</v>
      </c>
      <c r="B58" s="9" t="s">
        <v>402</v>
      </c>
      <c r="C58" s="9" t="n">
        <v>91</v>
      </c>
      <c r="D58" s="9" t="s">
        <v>524</v>
      </c>
      <c r="E58" s="9" t="s">
        <v>525</v>
      </c>
      <c r="F58" s="10" t="n">
        <v>46291</v>
      </c>
      <c r="G58" s="9"/>
    </row>
    <row r="59" customFormat="false" ht="15" hidden="false" customHeight="true" outlineLevel="0" collapsed="false">
      <c r="A59" s="9" t="s">
        <v>273</v>
      </c>
      <c r="B59" s="9" t="s">
        <v>409</v>
      </c>
      <c r="C59" s="9" t="n">
        <v>2196</v>
      </c>
      <c r="D59" s="9" t="s">
        <v>526</v>
      </c>
      <c r="E59" s="9" t="s">
        <v>527</v>
      </c>
      <c r="F59" s="10" t="n">
        <v>46291</v>
      </c>
      <c r="G59" s="9"/>
    </row>
    <row r="60" customFormat="false" ht="23.25" hidden="false" customHeight="true" outlineLevel="0" collapsed="false">
      <c r="A60" s="9" t="s">
        <v>528</v>
      </c>
      <c r="B60" s="9" t="s">
        <v>386</v>
      </c>
      <c r="C60" s="9" t="n">
        <v>7769</v>
      </c>
      <c r="D60" s="9" t="s">
        <v>529</v>
      </c>
      <c r="E60" s="9" t="s">
        <v>530</v>
      </c>
      <c r="F60" s="10" t="n">
        <v>46291</v>
      </c>
      <c r="G60" s="9"/>
    </row>
    <row r="61" customFormat="false" ht="15" hidden="false" customHeight="true" outlineLevel="0" collapsed="false">
      <c r="A61" s="9" t="s">
        <v>531</v>
      </c>
      <c r="B61" s="9" t="s">
        <v>402</v>
      </c>
      <c r="C61" s="9" t="n">
        <v>108</v>
      </c>
      <c r="D61" s="9" t="s">
        <v>532</v>
      </c>
      <c r="E61" s="9" t="s">
        <v>533</v>
      </c>
      <c r="F61" s="10" t="n">
        <v>46291</v>
      </c>
      <c r="G61" s="9"/>
    </row>
    <row r="62" customFormat="false" ht="15" hidden="false" customHeight="true" outlineLevel="0" collapsed="false">
      <c r="A62" s="9" t="s">
        <v>282</v>
      </c>
      <c r="B62" s="9" t="s">
        <v>409</v>
      </c>
      <c r="C62" s="9" t="n">
        <v>2576</v>
      </c>
      <c r="D62" s="9" t="s">
        <v>534</v>
      </c>
      <c r="E62" s="9" t="s">
        <v>535</v>
      </c>
      <c r="F62" s="10" t="n">
        <v>46291</v>
      </c>
      <c r="G62" s="9"/>
    </row>
    <row r="63" customFormat="false" ht="15" hidden="false" customHeight="true" outlineLevel="0" collapsed="false">
      <c r="A63" s="9" t="s">
        <v>536</v>
      </c>
      <c r="B63" s="9" t="s">
        <v>402</v>
      </c>
      <c r="C63" s="9" t="n">
        <v>363</v>
      </c>
      <c r="D63" s="9" t="s">
        <v>537</v>
      </c>
      <c r="E63" s="9" t="s">
        <v>538</v>
      </c>
      <c r="F63" s="10" t="n">
        <v>46291</v>
      </c>
      <c r="G63" s="9"/>
    </row>
    <row r="64" customFormat="false" ht="15" hidden="false" customHeight="true" outlineLevel="0" collapsed="false">
      <c r="A64" s="9" t="s">
        <v>296</v>
      </c>
      <c r="B64" s="9" t="s">
        <v>409</v>
      </c>
      <c r="C64" s="9" t="n">
        <v>3878</v>
      </c>
      <c r="D64" s="9" t="s">
        <v>539</v>
      </c>
      <c r="E64" s="9" t="s">
        <v>540</v>
      </c>
      <c r="F64" s="10" t="n">
        <v>46291</v>
      </c>
      <c r="G64" s="9"/>
    </row>
    <row r="65" customFormat="false" ht="15" hidden="false" customHeight="true" outlineLevel="0" collapsed="false">
      <c r="A65" s="9" t="s">
        <v>541</v>
      </c>
      <c r="B65" s="9" t="s">
        <v>402</v>
      </c>
      <c r="C65" s="9" t="n">
        <v>226</v>
      </c>
      <c r="D65" s="9" t="s">
        <v>542</v>
      </c>
      <c r="E65" s="9" t="s">
        <v>543</v>
      </c>
      <c r="F65" s="10" t="n">
        <v>46291</v>
      </c>
      <c r="G65" s="9"/>
    </row>
    <row r="66" customFormat="false" ht="15" hidden="false" customHeight="true" outlineLevel="0" collapsed="false">
      <c r="A66" s="9" t="s">
        <v>544</v>
      </c>
      <c r="B66" s="9" t="s">
        <v>402</v>
      </c>
      <c r="C66" s="9" t="n">
        <v>240</v>
      </c>
      <c r="D66" s="9" t="s">
        <v>545</v>
      </c>
      <c r="E66" s="9" t="s">
        <v>546</v>
      </c>
      <c r="F66" s="10" t="n">
        <v>46291</v>
      </c>
      <c r="G66" s="9"/>
    </row>
    <row r="67" customFormat="false" ht="15" hidden="false" customHeight="true" outlineLevel="0" collapsed="false">
      <c r="A67" s="9" t="s">
        <v>547</v>
      </c>
      <c r="B67" s="9" t="s">
        <v>386</v>
      </c>
      <c r="C67" s="9" t="n">
        <v>10584</v>
      </c>
      <c r="D67" s="9" t="s">
        <v>548</v>
      </c>
      <c r="E67" s="9" t="s">
        <v>549</v>
      </c>
      <c r="F67" s="10" t="n">
        <v>46291</v>
      </c>
      <c r="G67" s="9"/>
    </row>
    <row r="68" customFormat="false" ht="15" hidden="false" customHeight="true" outlineLevel="0" collapsed="false">
      <c r="A68" s="9" t="s">
        <v>375</v>
      </c>
      <c r="B68" s="9" t="s">
        <v>386</v>
      </c>
      <c r="C68" s="9" t="n">
        <v>14634</v>
      </c>
      <c r="D68" s="9" t="s">
        <v>550</v>
      </c>
      <c r="E68" s="9" t="s">
        <v>551</v>
      </c>
      <c r="F68" s="10" t="n">
        <v>46291</v>
      </c>
      <c r="G68" s="9"/>
    </row>
    <row r="69" customFormat="false" ht="15" hidden="false" customHeight="true" outlineLevel="0" collapsed="false">
      <c r="A69" s="9" t="s">
        <v>300</v>
      </c>
      <c r="B69" s="9" t="s">
        <v>406</v>
      </c>
      <c r="C69" s="9" t="n">
        <v>6566</v>
      </c>
      <c r="D69" s="9" t="s">
        <v>552</v>
      </c>
      <c r="E69" s="9" t="s">
        <v>553</v>
      </c>
      <c r="F69" s="10" t="n">
        <v>46291</v>
      </c>
      <c r="G69" s="9"/>
    </row>
    <row r="70" customFormat="false" ht="15" hidden="false" customHeight="true" outlineLevel="0" collapsed="false">
      <c r="A70" s="9" t="s">
        <v>305</v>
      </c>
      <c r="B70" s="9" t="s">
        <v>409</v>
      </c>
      <c r="C70" s="9" t="n">
        <v>1746</v>
      </c>
      <c r="D70" s="9" t="s">
        <v>554</v>
      </c>
      <c r="E70" s="9" t="s">
        <v>555</v>
      </c>
      <c r="F70" s="10" t="n">
        <v>46291</v>
      </c>
      <c r="G70" s="9"/>
    </row>
    <row r="71" customFormat="false" ht="15" hidden="false" customHeight="true" outlineLevel="0" collapsed="false">
      <c r="A71" s="9" t="s">
        <v>309</v>
      </c>
      <c r="B71" s="9" t="s">
        <v>409</v>
      </c>
      <c r="C71" s="9" t="n">
        <v>2834</v>
      </c>
      <c r="D71" s="9" t="s">
        <v>556</v>
      </c>
      <c r="E71" s="9" t="s">
        <v>557</v>
      </c>
      <c r="F71" s="10" t="n">
        <v>46291</v>
      </c>
      <c r="G71" s="9"/>
    </row>
    <row r="72" customFormat="false" ht="15" hidden="false" customHeight="true" outlineLevel="0" collapsed="false">
      <c r="A72" s="9" t="s">
        <v>558</v>
      </c>
      <c r="B72" s="9" t="s">
        <v>479</v>
      </c>
      <c r="C72" s="9" t="n">
        <v>6113</v>
      </c>
      <c r="D72" s="9" t="s">
        <v>559</v>
      </c>
      <c r="E72" s="9" t="s">
        <v>560</v>
      </c>
      <c r="F72" s="10" t="n">
        <v>46291</v>
      </c>
      <c r="G72" s="9"/>
    </row>
    <row r="73" customFormat="false" ht="15" hidden="false" customHeight="true" outlineLevel="0" collapsed="false">
      <c r="A73" s="9" t="s">
        <v>561</v>
      </c>
      <c r="B73" s="9" t="s">
        <v>402</v>
      </c>
      <c r="C73" s="9" t="n">
        <v>5067</v>
      </c>
      <c r="D73" s="9" t="s">
        <v>562</v>
      </c>
      <c r="E73" s="9" t="s">
        <v>563</v>
      </c>
      <c r="F73" s="10" t="n">
        <v>46291</v>
      </c>
      <c r="G73" s="9"/>
    </row>
    <row r="74" customFormat="false" ht="15" hidden="false" customHeight="true" outlineLevel="0" collapsed="false">
      <c r="A74" s="9" t="s">
        <v>315</v>
      </c>
      <c r="B74" s="9" t="s">
        <v>406</v>
      </c>
      <c r="C74" s="9" t="n">
        <v>3798</v>
      </c>
      <c r="D74" s="9" t="s">
        <v>564</v>
      </c>
      <c r="E74" s="9" t="s">
        <v>565</v>
      </c>
      <c r="F74" s="10" t="n">
        <v>46291</v>
      </c>
      <c r="G74" s="9"/>
    </row>
    <row r="75" customFormat="false" ht="15" hidden="false" customHeight="false" outlineLevel="0" collapsed="false">
      <c r="A75" s="9" t="s">
        <v>566</v>
      </c>
      <c r="B75" s="9" t="s">
        <v>567</v>
      </c>
      <c r="C75" s="9" t="n">
        <v>15045</v>
      </c>
      <c r="D75" s="9" t="s">
        <v>568</v>
      </c>
      <c r="E75" s="9" t="s">
        <v>569</v>
      </c>
      <c r="F75" s="10" t="n">
        <v>46292</v>
      </c>
      <c r="G75" s="9"/>
    </row>
    <row r="76" customFormat="false" ht="15" hidden="false" customHeight="false" outlineLevel="0" collapsed="false">
      <c r="A76" s="9" t="s">
        <v>570</v>
      </c>
      <c r="B76" s="9" t="s">
        <v>571</v>
      </c>
      <c r="C76" s="9" t="n">
        <v>92327</v>
      </c>
      <c r="D76" s="9" t="s">
        <v>572</v>
      </c>
      <c r="E76" s="9" t="s">
        <v>573</v>
      </c>
      <c r="F76" s="10" t="n">
        <v>46292</v>
      </c>
      <c r="G76" s="9"/>
    </row>
    <row r="77" customFormat="false" ht="15" hidden="false" customHeight="false" outlineLevel="0" collapsed="false">
      <c r="A77" s="9" t="s">
        <v>574</v>
      </c>
      <c r="B77" s="9" t="s">
        <v>571</v>
      </c>
      <c r="C77" s="9" t="n">
        <v>1243061</v>
      </c>
      <c r="D77" s="9" t="s">
        <v>575</v>
      </c>
      <c r="E77" s="9" t="s">
        <v>576</v>
      </c>
      <c r="F77" s="10" t="n">
        <v>46292</v>
      </c>
      <c r="G77" s="9"/>
    </row>
    <row r="78" customFormat="false" ht="15" hidden="false" customHeight="false" outlineLevel="0" collapsed="false">
      <c r="A78" s="9" t="s">
        <v>577</v>
      </c>
      <c r="B78" s="9" t="s">
        <v>578</v>
      </c>
      <c r="C78" s="9" t="n">
        <v>992824</v>
      </c>
      <c r="D78" s="9" t="s">
        <v>579</v>
      </c>
      <c r="E78" s="9" t="s">
        <v>580</v>
      </c>
      <c r="F78" s="10" t="n">
        <v>46292</v>
      </c>
      <c r="G78" s="9"/>
    </row>
    <row r="79" customFormat="false" ht="15" hidden="false" customHeight="false" outlineLevel="0" collapsed="false">
      <c r="A79" s="9" t="s">
        <v>325</v>
      </c>
      <c r="B79" s="9" t="s">
        <v>581</v>
      </c>
      <c r="C79" s="9" t="n">
        <v>18023</v>
      </c>
      <c r="D79" s="9" t="s">
        <v>582</v>
      </c>
      <c r="E79" s="9" t="s">
        <v>583</v>
      </c>
      <c r="F79" s="10" t="n">
        <v>46292</v>
      </c>
      <c r="G79" s="9"/>
    </row>
    <row r="80" customFormat="false" ht="15" hidden="false" customHeight="false" outlineLevel="0" collapsed="false">
      <c r="A80" s="9" t="s">
        <v>333</v>
      </c>
      <c r="B80" s="9" t="s">
        <v>581</v>
      </c>
      <c r="C80" s="9" t="n">
        <v>16963</v>
      </c>
      <c r="D80" s="9" t="s">
        <v>584</v>
      </c>
      <c r="E80" s="9" t="s">
        <v>585</v>
      </c>
      <c r="F80" s="10" t="n">
        <v>46292</v>
      </c>
      <c r="G80"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586</v>
      </c>
      <c r="B1" s="5" t="s">
        <v>336</v>
      </c>
      <c r="C1" s="5" t="s">
        <v>587</v>
      </c>
      <c r="D1" s="5" t="s">
        <v>5</v>
      </c>
      <c r="E1" s="5" t="s">
        <v>588</v>
      </c>
      <c r="F1" s="5" t="s">
        <v>589</v>
      </c>
      <c r="G1" s="5" t="s">
        <v>590</v>
      </c>
      <c r="H1" s="5" t="s">
        <v>591</v>
      </c>
      <c r="I1" s="5" t="s">
        <v>592</v>
      </c>
      <c r="J1" s="5" t="s">
        <v>593</v>
      </c>
      <c r="K1" s="5" t="s">
        <v>594</v>
      </c>
      <c r="L1" s="5" t="s">
        <v>595</v>
      </c>
      <c r="M1" s="5" t="s">
        <v>596</v>
      </c>
      <c r="N1" s="5" t="s">
        <v>597</v>
      </c>
      <c r="O1" s="5" t="s">
        <v>598</v>
      </c>
      <c r="P1" s="5" t="s">
        <v>599</v>
      </c>
      <c r="Q1" s="5" t="s">
        <v>600</v>
      </c>
      <c r="R1" s="5" t="s">
        <v>601</v>
      </c>
      <c r="S1" s="5" t="s">
        <v>602</v>
      </c>
      <c r="T1" s="5" t="s">
        <v>603</v>
      </c>
      <c r="U1" s="5" t="s">
        <v>604</v>
      </c>
      <c r="V1" s="5" t="s">
        <v>605</v>
      </c>
      <c r="W1" s="5" t="s">
        <v>606</v>
      </c>
      <c r="X1" s="5" t="s">
        <v>607</v>
      </c>
      <c r="Y1" s="5" t="s">
        <v>608</v>
      </c>
      <c r="Z1" s="5" t="s">
        <v>609</v>
      </c>
      <c r="AA1" s="5" t="s">
        <v>11</v>
      </c>
      <c r="AB1" s="5" t="s">
        <v>342</v>
      </c>
    </row>
    <row r="2" customFormat="false" ht="45.75" hidden="false" customHeight="true" outlineLevel="0" collapsed="false">
      <c r="A2" s="9" t="s">
        <v>610</v>
      </c>
      <c r="B2" s="10" t="n">
        <v>46291</v>
      </c>
      <c r="C2" s="11" t="n">
        <v>0.445081018518519</v>
      </c>
      <c r="D2" s="9" t="s">
        <v>42</v>
      </c>
      <c r="E2" s="9" t="s">
        <v>611</v>
      </c>
      <c r="F2" s="9"/>
      <c r="G2" s="9"/>
      <c r="H2" s="9" t="s">
        <v>612</v>
      </c>
      <c r="I2" s="9"/>
      <c r="J2" s="9" t="s">
        <v>613</v>
      </c>
      <c r="K2" s="9"/>
      <c r="L2" s="9"/>
      <c r="M2" s="9"/>
      <c r="N2" s="9"/>
      <c r="O2" s="9"/>
      <c r="P2" s="9"/>
      <c r="Q2" s="9"/>
      <c r="R2" s="9"/>
      <c r="S2" s="9" t="s">
        <v>614</v>
      </c>
      <c r="T2" s="9"/>
      <c r="U2" s="9" t="n">
        <v>0.406</v>
      </c>
      <c r="V2" s="9"/>
      <c r="W2" s="9"/>
      <c r="X2" s="9"/>
      <c r="Y2" s="9"/>
      <c r="Z2" s="9" t="s">
        <v>615</v>
      </c>
      <c r="AA2" s="9" t="s">
        <v>52</v>
      </c>
      <c r="AB2" s="9"/>
    </row>
    <row r="3" customFormat="false" ht="57" hidden="false" customHeight="true" outlineLevel="0" collapsed="false">
      <c r="A3" s="9" t="s">
        <v>616</v>
      </c>
      <c r="B3" s="10" t="n">
        <v>46291</v>
      </c>
      <c r="C3" s="11" t="n">
        <v>0.445081018518519</v>
      </c>
      <c r="D3" s="9" t="s">
        <v>42</v>
      </c>
      <c r="E3" s="9" t="s">
        <v>617</v>
      </c>
      <c r="F3" s="9"/>
      <c r="G3" s="9"/>
      <c r="H3" s="9" t="s">
        <v>618</v>
      </c>
      <c r="I3" s="9"/>
      <c r="J3" s="9" t="s">
        <v>619</v>
      </c>
      <c r="K3" s="9"/>
      <c r="L3" s="9"/>
      <c r="M3" s="9" t="n">
        <v>42</v>
      </c>
      <c r="N3" s="9"/>
      <c r="O3" s="9"/>
      <c r="P3" s="9"/>
      <c r="Q3" s="9"/>
      <c r="R3" s="9"/>
      <c r="S3" s="9" t="s">
        <v>614</v>
      </c>
      <c r="T3" s="9"/>
      <c r="U3" s="9" t="n">
        <v>0.1267</v>
      </c>
      <c r="V3" s="9"/>
      <c r="W3" s="9"/>
      <c r="X3" s="9"/>
      <c r="Y3" s="9"/>
      <c r="Z3" s="9" t="s">
        <v>620</v>
      </c>
      <c r="AA3" s="9" t="s">
        <v>52</v>
      </c>
      <c r="AB3" s="9"/>
    </row>
    <row r="4" customFormat="false" ht="102" hidden="false" customHeight="true" outlineLevel="0" collapsed="false">
      <c r="A4" s="9" t="s">
        <v>621</v>
      </c>
      <c r="B4" s="10" t="n">
        <v>46291</v>
      </c>
      <c r="C4" s="11" t="n">
        <v>0.449895833333333</v>
      </c>
      <c r="D4" s="9" t="s">
        <v>42</v>
      </c>
      <c r="E4" s="9" t="s">
        <v>622</v>
      </c>
      <c r="F4" s="9" t="s">
        <v>616</v>
      </c>
      <c r="G4" s="9"/>
      <c r="H4" s="9" t="s">
        <v>623</v>
      </c>
      <c r="I4" s="9"/>
      <c r="J4" s="9" t="s">
        <v>619</v>
      </c>
      <c r="K4" s="9"/>
      <c r="L4" s="9"/>
      <c r="M4" s="9"/>
      <c r="N4" s="9"/>
      <c r="O4" s="9"/>
      <c r="P4" s="9"/>
      <c r="Q4" s="9"/>
      <c r="R4" s="9"/>
      <c r="S4" s="9" t="s">
        <v>614</v>
      </c>
      <c r="T4" s="9"/>
      <c r="U4" s="9" t="n">
        <v>0.1143</v>
      </c>
      <c r="V4" s="9"/>
      <c r="W4" s="9"/>
      <c r="X4" s="9"/>
      <c r="Y4" s="9"/>
      <c r="Z4" s="9" t="s">
        <v>624</v>
      </c>
      <c r="AA4" s="9" t="s">
        <v>52</v>
      </c>
      <c r="AB4" s="9"/>
    </row>
    <row r="5" customFormat="false" ht="102" hidden="false" customHeight="true" outlineLevel="0" collapsed="false">
      <c r="A5" s="9" t="s">
        <v>625</v>
      </c>
      <c r="B5" s="10" t="n">
        <v>46291</v>
      </c>
      <c r="C5" s="11" t="n">
        <v>0.620289351851852</v>
      </c>
      <c r="D5" s="9" t="s">
        <v>42</v>
      </c>
      <c r="E5" s="9" t="s">
        <v>626</v>
      </c>
      <c r="F5" s="9" t="s">
        <v>621</v>
      </c>
      <c r="G5" s="9"/>
      <c r="H5" s="9" t="s">
        <v>627</v>
      </c>
      <c r="I5" s="9"/>
      <c r="J5" s="9" t="s">
        <v>619</v>
      </c>
      <c r="K5" s="9"/>
      <c r="L5" s="9"/>
      <c r="M5" s="9"/>
      <c r="N5" s="9"/>
      <c r="O5" s="9"/>
      <c r="P5" s="9"/>
      <c r="Q5" s="9"/>
      <c r="R5" s="9"/>
      <c r="S5" s="9" t="s">
        <v>614</v>
      </c>
      <c r="T5" s="9"/>
      <c r="U5" s="9" t="n">
        <v>0.1155</v>
      </c>
      <c r="V5" s="9" t="n">
        <v>0.1301</v>
      </c>
      <c r="W5" s="9"/>
      <c r="X5" s="9"/>
      <c r="Y5" s="9"/>
      <c r="Z5" s="9" t="s">
        <v>628</v>
      </c>
      <c r="AA5" s="9" t="s">
        <v>52</v>
      </c>
      <c r="AB5" s="9"/>
    </row>
    <row r="6" customFormat="false" ht="124.5" hidden="false" customHeight="true" outlineLevel="0" collapsed="false">
      <c r="A6" s="9" t="s">
        <v>629</v>
      </c>
      <c r="B6" s="10" t="n">
        <v>46291</v>
      </c>
      <c r="C6" s="11" t="n">
        <v>0.631400462962963</v>
      </c>
      <c r="D6" s="9" t="s">
        <v>42</v>
      </c>
      <c r="E6" s="9" t="s">
        <v>630</v>
      </c>
      <c r="F6" s="9" t="s">
        <v>616</v>
      </c>
      <c r="G6" s="9"/>
      <c r="H6" s="9" t="s">
        <v>631</v>
      </c>
      <c r="I6" s="9"/>
      <c r="J6" s="9" t="s">
        <v>613</v>
      </c>
      <c r="K6" s="9"/>
      <c r="L6" s="9"/>
      <c r="M6" s="9" t="n">
        <v>42</v>
      </c>
      <c r="N6" s="9"/>
      <c r="O6" s="9"/>
      <c r="P6" s="9"/>
      <c r="Q6" s="9"/>
      <c r="R6" s="9"/>
      <c r="S6" s="9" t="s">
        <v>614</v>
      </c>
      <c r="T6" s="9"/>
      <c r="U6" s="9" t="n">
        <v>0.1245</v>
      </c>
      <c r="V6" s="9"/>
      <c r="W6" s="9"/>
      <c r="X6" s="9"/>
      <c r="Y6" s="9"/>
      <c r="Z6" s="9" t="s">
        <v>632</v>
      </c>
      <c r="AA6" s="9" t="s">
        <v>52</v>
      </c>
      <c r="AB6" s="9"/>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633</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634</v>
      </c>
      <c r="B3" s="13" t="n">
        <f aca="false">COUNTA(Change_Log!A2:A5000)</f>
        <v>76</v>
      </c>
      <c r="C3" s="13"/>
      <c r="D3" s="13" t="s">
        <v>635</v>
      </c>
      <c r="E3" s="13" t="n">
        <f aca="false">COUNTA(Experiments!A2:A5000)</f>
        <v>5</v>
      </c>
    </row>
    <row r="4" customFormat="false" ht="15" hidden="false" customHeight="true" outlineLevel="0" collapsed="false">
      <c r="A4" s="13" t="s">
        <v>636</v>
      </c>
      <c r="B4" s="13" t="n">
        <f aca="false">COUNTA(Findings!A2:A5000)</f>
        <v>6</v>
      </c>
      <c r="C4" s="13"/>
      <c r="D4" s="13" t="s">
        <v>637</v>
      </c>
      <c r="E4" s="13" t="n">
        <f aca="false">COUNTIF(Experiments!AA2:AA5000,"Done")</f>
        <v>5</v>
      </c>
    </row>
    <row r="5" customFormat="false" ht="15" hidden="false" customHeight="true" outlineLevel="0" collapsed="false">
      <c r="A5" s="13" t="s">
        <v>638</v>
      </c>
      <c r="B5" s="13" t="n">
        <f aca="false">COUNTIF(Findings!K2:K5000,"Open")</f>
        <v>1</v>
      </c>
      <c r="C5" s="13"/>
      <c r="D5" s="13" t="s">
        <v>639</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640</v>
      </c>
      <c r="B7" s="13"/>
      <c r="C7" s="13"/>
      <c r="D7" s="13"/>
      <c r="E7" s="13"/>
    </row>
    <row r="8" customFormat="false" ht="15" hidden="false" customHeight="true" outlineLevel="0" collapsed="false">
      <c r="A8" s="13" t="s">
        <v>641</v>
      </c>
      <c r="B8" s="13" t="n">
        <f aca="false">COUNTIF(Change_Log!I2:I5000,A8)</f>
        <v>0</v>
      </c>
      <c r="C8" s="13"/>
      <c r="D8" s="13"/>
      <c r="E8" s="13"/>
    </row>
    <row r="9" customFormat="false" ht="15" hidden="false" customHeight="true" outlineLevel="0" collapsed="false">
      <c r="A9" s="13" t="s">
        <v>642</v>
      </c>
      <c r="B9" s="13" t="n">
        <f aca="false">COUNTIF(Change_Log!I2:I5000,A9)</f>
        <v>0</v>
      </c>
      <c r="C9" s="13"/>
      <c r="D9" s="13"/>
      <c r="E9" s="13"/>
    </row>
    <row r="10" customFormat="false" ht="15" hidden="false" customHeight="true" outlineLevel="0" collapsed="false">
      <c r="A10" s="13" t="s">
        <v>45</v>
      </c>
      <c r="B10" s="13" t="n">
        <f aca="false">COUNTIF(Change_Log!I2:I5000,A10)</f>
        <v>32</v>
      </c>
      <c r="C10" s="13"/>
      <c r="D10" s="13"/>
      <c r="E10" s="13"/>
    </row>
    <row r="11" customFormat="false" ht="15" hidden="false" customHeight="true" outlineLevel="0" collapsed="false">
      <c r="A11" s="13" t="s">
        <v>187</v>
      </c>
      <c r="B11" s="13" t="n">
        <f aca="false">COUNTIF(Change_Log!I2:I5000,A11)</f>
        <v>13</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643</v>
      </c>
      <c r="B13" s="13" t="n">
        <f aca="false">COUNTIF(Change_Log!I2:I5000,A13)</f>
        <v>0</v>
      </c>
      <c r="C13" s="13"/>
      <c r="D13" s="13"/>
      <c r="E13" s="13"/>
    </row>
    <row r="14" customFormat="false" ht="15" hidden="false" customHeight="true" outlineLevel="0" collapsed="false">
      <c r="A14" s="13" t="s">
        <v>92</v>
      </c>
      <c r="B14" s="13" t="n">
        <f aca="false">COUNTIF(Change_Log!I2:I5000,A14)</f>
        <v>9</v>
      </c>
      <c r="C14" s="13"/>
      <c r="D14" s="13"/>
      <c r="E14" s="13"/>
    </row>
    <row r="15" customFormat="false" ht="15" hidden="false" customHeight="true" outlineLevel="0" collapsed="false">
      <c r="A15" s="13" t="s">
        <v>147</v>
      </c>
      <c r="B15" s="13" t="n">
        <f aca="false">COUNTIF(Change_Log!I2:I5000,A15)</f>
        <v>3</v>
      </c>
      <c r="C15" s="13"/>
      <c r="D15" s="13"/>
      <c r="E15" s="13"/>
    </row>
    <row r="16" customFormat="false" ht="15" hidden="false" customHeight="true" outlineLevel="0" collapsed="false">
      <c r="A16" s="13" t="s">
        <v>61</v>
      </c>
      <c r="B16" s="13" t="n">
        <f aca="false">COUNTIF(Change_Log!I2:I5000,A16)</f>
        <v>8</v>
      </c>
      <c r="C16" s="13"/>
      <c r="D16" s="13"/>
      <c r="E16" s="13"/>
    </row>
    <row r="17" customFormat="false" ht="15" hidden="false" customHeight="true" outlineLevel="0" collapsed="false">
      <c r="A17" s="13" t="s">
        <v>128</v>
      </c>
      <c r="B17" s="13" t="n">
        <f aca="false">COUNTIF(Change_Log!I2:I5000,A17)</f>
        <v>6</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644</v>
      </c>
      <c r="B19" s="13"/>
      <c r="C19" s="13"/>
      <c r="D19" s="13"/>
      <c r="E19" s="13"/>
    </row>
    <row r="20" customFormat="false" ht="15" hidden="false" customHeight="true" outlineLevel="0" collapsed="false">
      <c r="A20" s="13" t="s">
        <v>52</v>
      </c>
      <c r="B20" s="13" t="n">
        <f aca="false">COUNTIF(Change_Log!S2:S5000,A20)</f>
        <v>76</v>
      </c>
      <c r="C20" s="13"/>
      <c r="D20" s="13"/>
      <c r="E20" s="13"/>
    </row>
    <row r="21" customFormat="false" ht="15" hidden="false" customHeight="true" outlineLevel="0" collapsed="false">
      <c r="A21" s="13" t="s">
        <v>379</v>
      </c>
      <c r="B21" s="13" t="n">
        <f aca="false">COUNTIF(Change_Log!S2:S5000,A21)</f>
        <v>0</v>
      </c>
      <c r="C21" s="13"/>
      <c r="D21" s="13"/>
      <c r="E21" s="13"/>
    </row>
    <row r="22" customFormat="false" ht="15" hidden="false" customHeight="true" outlineLevel="0" collapsed="false">
      <c r="A22" s="13" t="s">
        <v>645</v>
      </c>
      <c r="B22" s="13" t="n">
        <f aca="false">COUNTIF(Change_Log!S2:S5000,A22)</f>
        <v>0</v>
      </c>
      <c r="C22" s="13"/>
      <c r="D22" s="13"/>
      <c r="E22" s="13"/>
    </row>
    <row r="23" customFormat="false" ht="15" hidden="false" customHeight="true" outlineLevel="0" collapsed="false">
      <c r="A23" s="13" t="s">
        <v>646</v>
      </c>
      <c r="B23" s="13" t="n">
        <f aca="false">COUNTIF(Change_Log!S2:S5000,A23)</f>
        <v>0</v>
      </c>
      <c r="C23" s="13"/>
      <c r="D23" s="13"/>
      <c r="E23" s="13"/>
    </row>
    <row r="24" customFormat="false" ht="15" hidden="false" customHeight="true" outlineLevel="0" collapsed="false">
      <c r="A24" s="13" t="s">
        <v>357</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647</v>
      </c>
      <c r="B26" s="13"/>
      <c r="C26" s="13"/>
      <c r="D26" s="13"/>
      <c r="E26" s="13"/>
    </row>
    <row r="27" customFormat="false" ht="15" hidden="false" customHeight="true" outlineLevel="0" collapsed="false">
      <c r="A27" s="13" t="s">
        <v>51</v>
      </c>
      <c r="B27" s="13" t="n">
        <f aca="false">COUNTIF(Change_Log!R2:R5000,A27)</f>
        <v>76</v>
      </c>
      <c r="C27" s="13"/>
      <c r="D27" s="13"/>
      <c r="E27" s="13"/>
    </row>
    <row r="28" customFormat="false" ht="15" hidden="false" customHeight="true" outlineLevel="0" collapsed="false">
      <c r="A28" s="13" t="s">
        <v>351</v>
      </c>
      <c r="B28" s="13" t="n">
        <f aca="false">COUNTIF(Change_Log!R2:R5000,A28)</f>
        <v>0</v>
      </c>
      <c r="C28" s="13"/>
      <c r="D28" s="13"/>
      <c r="E28" s="13"/>
    </row>
    <row r="29" customFormat="false" ht="15" hidden="false" customHeight="true" outlineLevel="0" collapsed="false">
      <c r="A29" s="13" t="s">
        <v>344</v>
      </c>
      <c r="B29" s="13" t="n">
        <f aca="false">COUNTIF(Change_Log!R2:R5000,A29)</f>
        <v>0</v>
      </c>
      <c r="C29" s="13"/>
      <c r="D29" s="13"/>
      <c r="E29" s="13"/>
    </row>
    <row r="30" customFormat="false" ht="15" hidden="false" customHeight="true" outlineLevel="0" collapsed="false">
      <c r="A30" s="13" t="s">
        <v>359</v>
      </c>
      <c r="B30" s="13" t="n">
        <f aca="false">COUNTIF(Change_Log!R2:R5000,A30)</f>
        <v>0</v>
      </c>
      <c r="C30" s="13"/>
      <c r="D30" s="13"/>
      <c r="E30" s="13"/>
    </row>
    <row r="31" customFormat="false" ht="15" hidden="false" customHeight="true" outlineLevel="0" collapsed="false">
      <c r="A31" s="13" t="s">
        <v>648</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2026-09-27T06:03:40Z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